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viens/Optimization/sparow_examples/sparow_examples/aos_opf_tests/"/>
    </mc:Choice>
  </mc:AlternateContent>
  <xr:revisionPtr revIDLastSave="0" documentId="13_ncr:1_{02958AD1-A9EC-0E43-83BC-EDCEFCB41A95}" xr6:coauthVersionLast="47" xr6:coauthVersionMax="47" xr10:uidLastSave="{00000000-0000-0000-0000-000000000000}"/>
  <bookViews>
    <workbookView xWindow="17140" yWindow="3980" windowWidth="17280" windowHeight="19840" activeTab="4" xr2:uid="{77622BFC-E127-B14A-A012-62572151DBA0}"/>
  </bookViews>
  <sheets>
    <sheet name="Raw Data" sheetId="1" r:id="rId1"/>
    <sheet name="Processed Data" sheetId="6" r:id="rId2"/>
    <sheet name="Benders Candidates Vs True" sheetId="10" r:id="rId3"/>
    <sheet name="Extensive Form" sheetId="7" r:id="rId4"/>
    <sheet name="Sol Count &amp; Timing Comp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2" i="6" l="1"/>
  <c r="M111" i="6"/>
  <c r="M85" i="6"/>
  <c r="M84" i="6"/>
  <c r="M60" i="6"/>
  <c r="M59" i="6"/>
  <c r="M34" i="6"/>
  <c r="M33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M7" i="6"/>
  <c r="M6" i="6"/>
  <c r="L7" i="6"/>
  <c r="L8" i="6"/>
  <c r="L6" i="6"/>
  <c r="K7" i="6"/>
  <c r="K8" i="6"/>
  <c r="K6" i="6"/>
</calcChain>
</file>

<file path=xl/sharedStrings.xml><?xml version="1.0" encoding="utf-8"?>
<sst xmlns="http://schemas.openxmlformats.org/spreadsheetml/2006/main" count="1904" uniqueCount="216">
  <si>
    <t>OPF Weak Unit Commitment Restuls</t>
  </si>
  <si>
    <t>pglib_opf_case5_pjm.m</t>
  </si>
  <si>
    <t>extensive</t>
  </si>
  <si>
    <t>gurobi_pool</t>
  </si>
  <si>
    <t>benders</t>
  </si>
  <si>
    <t>0.010268124984577298</t>
  </si>
  <si>
    <t>0.024339750001672655</t>
  </si>
  <si>
    <t>0.034607874986249954</t>
  </si>
  <si>
    <t>0.013756666041444987</t>
  </si>
  <si>
    <t>0.013278209022246301</t>
  </si>
  <si>
    <t>0.038492207997478545</t>
  </si>
  <si>
    <t>0.013121957948897034</t>
  </si>
  <si>
    <t>0.038501958013512194</t>
  </si>
  <si>
    <t>0.048347583040595055</t>
  </si>
  <si>
    <t>case</t>
  </si>
  <si>
    <t>n_buses</t>
  </si>
  <si>
    <t>n_lines</t>
  </si>
  <si>
    <t>n_gens_or_commits</t>
  </si>
  <si>
    <t>grid_fidelity</t>
  </si>
  <si>
    <t>commitment</t>
  </si>
  <si>
    <t>solve_mode</t>
  </si>
  <si>
    <t>aos_method</t>
  </si>
  <si>
    <t>rel_gap</t>
  </si>
  <si>
    <t>num_solutions_cap</t>
  </si>
  <si>
    <t>time_limit_s</t>
  </si>
  <si>
    <t>base_time_s</t>
  </si>
  <si>
    <t>aos_time_s</t>
  </si>
  <si>
    <t>total_time_s</t>
  </si>
  <si>
    <t>n_candidates</t>
  </si>
  <si>
    <t>n_true</t>
  </si>
  <si>
    <t>0.012048291973769665</t>
  </si>
  <si>
    <t>0.011183750000782311</t>
  </si>
  <si>
    <t>0.024082083022221923</t>
  </si>
  <si>
    <t>0.035265833023004234</t>
  </si>
  <si>
    <t>0.011414290987886488</t>
  </si>
  <si>
    <t>0.014322750037536025</t>
  </si>
  <si>
    <t>0.039673290972132236</t>
  </si>
  <si>
    <t>0.050871290965005755</t>
  </si>
  <si>
    <t>0.014797417039517313</t>
  </si>
  <si>
    <t>0.011178416956681758</t>
  </si>
  <si>
    <t>pglib_opf_case14_ieee.m</t>
  </si>
  <si>
    <t>0.054210041009355336</t>
  </si>
  <si>
    <t>0.058031999971717596</t>
  </si>
  <si>
    <t>0.011477832973469049</t>
  </si>
  <si>
    <t>0.010006874974351376</t>
  </si>
  <si>
    <t>0.011087374994531274</t>
  </si>
  <si>
    <t>0.028245875029824674</t>
  </si>
  <si>
    <t>0.013311290997080505</t>
  </si>
  <si>
    <t>0.011185250012204051</t>
  </si>
  <si>
    <t>0.016815792012494057</t>
  </si>
  <si>
    <t>0.011255041987169534</t>
  </si>
  <si>
    <t>0.028243625012692064</t>
  </si>
  <si>
    <t>0.015703874989412725</t>
  </si>
  <si>
    <t>0.028128249978180975</t>
  </si>
  <si>
    <t>0.013026542030274868</t>
  </si>
  <si>
    <t>0.019069500034675002</t>
  </si>
  <si>
    <t>0.015879707993008196</t>
  </si>
  <si>
    <t>0.021879667008761317</t>
  </si>
  <si>
    <t>0.012206665996927768</t>
  </si>
  <si>
    <t>0.018338249996304512</t>
  </si>
  <si>
    <t>0.017866790993139148</t>
  </si>
  <si>
    <t>0.012813708977773786</t>
  </si>
  <si>
    <t>0.018701749970205128</t>
  </si>
  <si>
    <t>0.016033124993555248</t>
  </si>
  <si>
    <t>0.017955041956156492</t>
  </si>
  <si>
    <t>pglib_opf_case24_ieee_rts.m</t>
  </si>
  <si>
    <t>0.015123749966733158</t>
  </si>
  <si>
    <t>0.5918497079983354</t>
  </si>
  <si>
    <t>0.6069734579650685</t>
  </si>
  <si>
    <t>0.012979999999515712</t>
  </si>
  <si>
    <t>0.018466750043444335</t>
  </si>
  <si>
    <t>0.014846667007077485</t>
  </si>
  <si>
    <t>2.339665125007741</t>
  </si>
  <si>
    <t>2.3545117920148186</t>
  </si>
  <si>
    <t>0.013343749975319952</t>
  </si>
  <si>
    <t>0.018920124974101782</t>
  </si>
  <si>
    <t>nan</t>
  </si>
  <si>
    <t>0.016355041996575892</t>
  </si>
  <si>
    <t>0.026493541954550892</t>
  </si>
  <si>
    <t>0.8360592909739353</t>
  </si>
  <si>
    <t>0.8622149989823811</t>
  </si>
  <si>
    <t>0.010036208026576787</t>
  </si>
  <si>
    <t>0.017129332991316915</t>
  </si>
  <si>
    <t>0.027165541017893702</t>
  </si>
  <si>
    <t>3.045778291998431</t>
  </si>
  <si>
    <t>3.068400666990783</t>
  </si>
  <si>
    <t>0.017505375028122216</t>
  </si>
  <si>
    <t>0.027547459001652896</t>
  </si>
  <si>
    <t>0.010712624993175268</t>
  </si>
  <si>
    <t>0.030950292013585567</t>
  </si>
  <si>
    <t>0.013266333960928023</t>
  </si>
  <si>
    <t>0.019531708036083728</t>
  </si>
  <si>
    <t>0.032146291981916875</t>
  </si>
  <si>
    <t>0.9980689579970203</t>
  </si>
  <si>
    <t>1.0302152499789372</t>
  </si>
  <si>
    <t>0.013327833032235503</t>
  </si>
  <si>
    <t>0.036483041069004685</t>
  </si>
  <si>
    <t>0.031101500033400953</t>
  </si>
  <si>
    <t>3.886325375002343</t>
  </si>
  <si>
    <t>3.917426875035744</t>
  </si>
  <si>
    <t>0.013053249975200742</t>
  </si>
  <si>
    <t>0.024586332961916924</t>
  </si>
  <si>
    <t>0.037639582937117666</t>
  </si>
  <si>
    <t>pglib_opf_case30_ieee.m</t>
  </si>
  <si>
    <t>0.015590750030241907</t>
  </si>
  <si>
    <t>0.036979125055950135</t>
  </si>
  <si>
    <t>0.010930957971140742</t>
  </si>
  <si>
    <t>0.016247665975242853</t>
  </si>
  <si>
    <t>0.015021124971099198</t>
  </si>
  <si>
    <t>0.015868916001636535</t>
  </si>
  <si>
    <t>0.014483084029052407</t>
  </si>
  <si>
    <t>0.017996750015299767</t>
  </si>
  <si>
    <t>0.032479834044352174</t>
  </si>
  <si>
    <t>0.010776083043310791</t>
  </si>
  <si>
    <t>0.015775291016325355</t>
  </si>
  <si>
    <t>0.014346957963425666</t>
  </si>
  <si>
    <t>0.016570375009905547</t>
  </si>
  <si>
    <t>0.030917332973331213</t>
  </si>
  <si>
    <t>0.021544417017139494</t>
  </si>
  <si>
    <t>0.045975958986673504</t>
  </si>
  <si>
    <t>0.025430290959775448</t>
  </si>
  <si>
    <t>0.020633916021324694</t>
  </si>
  <si>
    <t>0.019178499991539866</t>
  </si>
  <si>
    <t>0.028707167017273605</t>
  </si>
  <si>
    <t>0.025109417038038373</t>
  </si>
  <si>
    <t>0.021399207995273173</t>
  </si>
  <si>
    <t>0.046508625033311546</t>
  </si>
  <si>
    <t>0.015263999986927956</t>
  </si>
  <si>
    <t>0.024418874992989004</t>
  </si>
  <si>
    <t>0.020801750011742115</t>
  </si>
  <si>
    <t>0.045557792007457465</t>
  </si>
  <si>
    <t>0.020132916048169136</t>
  </si>
  <si>
    <t>0.033995083009358495</t>
  </si>
  <si>
    <t>0.031623040966223925</t>
  </si>
  <si>
    <t>0.026901041972450912</t>
  </si>
  <si>
    <t>0.013729041034821421</t>
  </si>
  <si>
    <t>0.019957333046477288</t>
  </si>
  <si>
    <t>0.023498166003264487</t>
  </si>
  <si>
    <t>0.020506917033344507</t>
  </si>
  <si>
    <t>0.024016749986913055</t>
  </si>
  <si>
    <t>0.014786374988034368</t>
  </si>
  <si>
    <t>0.032995124987792224</t>
  </si>
  <si>
    <t>0.057203666015993804</t>
  </si>
  <si>
    <t>pglib_opf_case39_epri.m</t>
  </si>
  <si>
    <t>0.028646167018450797</t>
  </si>
  <si>
    <t>0.017621374980080873</t>
  </si>
  <si>
    <t>1.2941974169807509</t>
  </si>
  <si>
    <t>1.3118187919608317</t>
  </si>
  <si>
    <t>0.014674916979856789</t>
  </si>
  <si>
    <t>0.021914792014285922</t>
  </si>
  <si>
    <t>2.5229600419988856</t>
  </si>
  <si>
    <t>2.540452208952047</t>
  </si>
  <si>
    <t>0.024397957953624427</t>
  </si>
  <si>
    <t>0.018250165972858667</t>
  </si>
  <si>
    <t>0.025601081957574934</t>
  </si>
  <si>
    <t>0.019579374988097697</t>
  </si>
  <si>
    <t>0.033730250026565045</t>
  </si>
  <si>
    <t>1.9282481250120327</t>
  </si>
  <si>
    <t>1.9619783750385977</t>
  </si>
  <si>
    <t>0.013193249993491918</t>
  </si>
  <si>
    <t>0.022454333025962114</t>
  </si>
  <si>
    <t>0.028430833015590906</t>
  </si>
  <si>
    <t>3.8089924170053564</t>
  </si>
  <si>
    <t>3.8374232500209473</t>
  </si>
  <si>
    <t>0.014099250023718923</t>
  </si>
  <si>
    <t>0.025104375032242388</t>
  </si>
  <si>
    <t>0.013759749999735504</t>
  </si>
  <si>
    <t>0.041871708002872765</t>
  </si>
  <si>
    <t>0.017727917002048343</t>
  </si>
  <si>
    <t>0.025897040963172913</t>
  </si>
  <si>
    <t>0.043624957965221256</t>
  </si>
  <si>
    <t>4.716511292033829</t>
  </si>
  <si>
    <t>4.755333334032912</t>
  </si>
  <si>
    <t>0.017750541970599443</t>
  </si>
  <si>
    <t>Data directly copied from the aos_opf runner script, focused on the gurobi_pool generation method for efficiency</t>
  </si>
  <si>
    <t>Fidelities: 0 = CP, 1 = NF, 2 = DCOPF</t>
  </si>
  <si>
    <t>Skipped Due to Prior Sol Max</t>
  </si>
  <si>
    <t>0.010868416982702911</t>
  </si>
  <si>
    <t>0.016597417008597404</t>
  </si>
  <si>
    <t>0.013294417003635317</t>
  </si>
  <si>
    <t>0.040961624996270984</t>
  </si>
  <si>
    <t>0.012107667047530413</t>
  </si>
  <si>
    <t>0.013412874948699027</t>
  </si>
  <si>
    <t>0.013377207971643656</t>
  </si>
  <si>
    <t>0.054360250011086464</t>
  </si>
  <si>
    <t>0.011088000028394163</t>
  </si>
  <si>
    <t>0.016916333988774568</t>
  </si>
  <si>
    <t>0.013078874966595322</t>
  </si>
  <si>
    <t>0.013955082977190614</t>
  </si>
  <si>
    <t>0.022868373955134302</t>
  </si>
  <si>
    <t>0.020970792043954134</t>
  </si>
  <si>
    <t>0.013452832994516939</t>
  </si>
  <si>
    <t>0.017636917007621378</t>
  </si>
  <si>
    <t>0.026898959011305124</t>
  </si>
  <si>
    <t>0.020741375046782196</t>
  </si>
  <si>
    <t>0.019784416013862938</t>
  </si>
  <si>
    <t>0.014379166008438915</t>
  </si>
  <si>
    <t>0.022980207053478807</t>
  </si>
  <si>
    <t>0.014396250015124679</t>
  </si>
  <si>
    <t>0.023110833019018173</t>
  </si>
  <si>
    <t>0.019337084027938545</t>
  </si>
  <si>
    <t>0.039557501033414155</t>
  </si>
  <si>
    <t>Multiple Solutions Found</t>
  </si>
  <si>
    <t>5-Bus</t>
  </si>
  <si>
    <t>14-Bus</t>
  </si>
  <si>
    <t>24-Bus</t>
  </si>
  <si>
    <t>Processed Data</t>
  </si>
  <si>
    <t>Enumeration Guarantee</t>
  </si>
  <si>
    <t>30-Bus</t>
  </si>
  <si>
    <t>39-Bus</t>
  </si>
  <si>
    <t>0.013938416028395295</t>
  </si>
  <si>
    <t>0.020183583023026586</t>
  </si>
  <si>
    <t>CP</t>
  </si>
  <si>
    <t>NF</t>
  </si>
  <si>
    <t>DC</t>
  </si>
  <si>
    <t>Some rows werent caught in the initial copy here, were manually copied in processed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</si>
</sst>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747782-4418-3D46-8760-36A7AFDB4DB5}" name="Table3" displayName="Table3" ref="A5:M134" totalsRowShown="0">
  <autoFilter ref="A5:M134" xr:uid="{7E747782-4418-3D46-8760-36A7AFDB4DB5}">
    <filterColumn colId="2">
      <filters>
        <filter val="benders"/>
      </filters>
    </filterColumn>
    <filterColumn colId="12">
      <filters>
        <filter val="FALSE"/>
      </filters>
    </filterColumn>
  </autoFilter>
  <tableColumns count="13">
    <tableColumn id="1" xr3:uid="{3A5B34BA-3242-764B-8698-E462D04165ED}" name="case"/>
    <tableColumn id="2" xr3:uid="{37CE253A-7961-284A-AC9E-EBD8238C1DEA}" name="grid_fidelity"/>
    <tableColumn id="3" xr3:uid="{5ACC592E-28CA-2444-BF43-FCE90C5BCF92}" name="solve_mode"/>
    <tableColumn id="4" xr3:uid="{EC0890CF-99BF-2240-B9EA-12F415919763}" name="rel_gap"/>
    <tableColumn id="5" xr3:uid="{EF8258BF-BF62-D346-844C-72936C1BA903}" name="num_solutions_cap"/>
    <tableColumn id="6" xr3:uid="{E70D5545-9F98-9F4A-8B37-CCF8C4202763}" name="base_time_s"/>
    <tableColumn id="7" xr3:uid="{B42B5E54-80C7-574B-AC1A-4E597B937D4B}" name="aos_time_s"/>
    <tableColumn id="8" xr3:uid="{98E05109-B471-4741-8A7B-10A263395A03}" name="total_time_s"/>
    <tableColumn id="9" xr3:uid="{06FF25DE-D2B7-054A-AA39-CA55866DFE23}" name="n_candidates"/>
    <tableColumn id="10" xr3:uid="{7A3B244B-1525-0E41-9B78-1DEC42D9E51F}" name="n_true"/>
    <tableColumn id="11" xr3:uid="{39E71ACE-3397-4B4F-BC56-7FC4706EBF27}" name="Multiple Solutions Found">
      <calculatedColumnFormula>J6&gt;1</calculatedColumnFormula>
    </tableColumn>
    <tableColumn id="12" xr3:uid="{F2ECDE9C-92BC-E24C-813A-EB21399CED80}" name="Enumeration Guarantee">
      <calculatedColumnFormula>NOT(E6=I6)</calculatedColumnFormula>
    </tableColumn>
    <tableColumn id="13" xr3:uid="{E826D887-160E-9D45-A89D-ABFB338B1B9C}" name="Skipped Due to Prior Sol Max">
      <calculatedColumnFormula>E4=I4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C6C106-700B-5D43-9900-78BD42DC3DFE}" name="Table4" displayName="Table4" ref="A2:F62" totalsRowShown="0">
  <autoFilter ref="A2:F62" xr:uid="{E9C6C106-700B-5D43-9900-78BD42DC3DFE}"/>
  <tableColumns count="6">
    <tableColumn id="1" xr3:uid="{18C78C2D-13AE-5546-AEE8-2A672D260AC7}" name="case"/>
    <tableColumn id="2" xr3:uid="{A2FFEA95-F7AE-C248-9DDB-EBD08E33D818}" name="grid_fidelity"/>
    <tableColumn id="3" xr3:uid="{BC67FB20-5675-DE47-843C-B416897AB7BE}" name="rel_gap"/>
    <tableColumn id="4" xr3:uid="{1F380C60-86D8-0A41-8EA6-20321BA8FE9D}" name="n_candidates"/>
    <tableColumn id="5" xr3:uid="{5BB7D1D6-F288-904D-99CC-B415EA033355}" name="n_true"/>
    <tableColumn id="6" xr3:uid="{E8B39B0A-3D24-1C44-A659-A1063F81616F}" name="Multiple Solutions Fou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161-81A2-CD4D-B2BA-7B53DD4C4662}">
  <dimension ref="A1:P146"/>
  <sheetViews>
    <sheetView topLeftCell="A118" workbookViewId="0">
      <selection activeCell="N37" sqref="N37"/>
    </sheetView>
  </sheetViews>
  <sheetFormatPr baseColWidth="10" defaultRowHeight="16" x14ac:dyDescent="0.2"/>
  <sheetData>
    <row r="1" spans="1:16" x14ac:dyDescent="0.2">
      <c r="A1" t="s">
        <v>0</v>
      </c>
      <c r="D1" t="s">
        <v>215</v>
      </c>
    </row>
    <row r="2" spans="1:16" x14ac:dyDescent="0.2">
      <c r="A2" t="s">
        <v>174</v>
      </c>
    </row>
    <row r="3" spans="1:16" x14ac:dyDescent="0.2">
      <c r="A3" t="s">
        <v>175</v>
      </c>
    </row>
    <row r="5" spans="1:16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x14ac:dyDescent="0.2">
      <c r="A6" t="s">
        <v>1</v>
      </c>
      <c r="B6">
        <v>5</v>
      </c>
      <c r="C6">
        <v>6</v>
      </c>
      <c r="D6">
        <v>4</v>
      </c>
      <c r="E6">
        <v>0</v>
      </c>
      <c r="F6" t="b">
        <v>1</v>
      </c>
      <c r="G6" t="s">
        <v>2</v>
      </c>
      <c r="H6" t="s">
        <v>3</v>
      </c>
      <c r="I6">
        <v>0</v>
      </c>
      <c r="J6">
        <v>50</v>
      </c>
      <c r="K6">
        <v>100</v>
      </c>
      <c r="L6">
        <v>3.64874996012076E-3</v>
      </c>
      <c r="M6">
        <v>3.3407208975404501E-2</v>
      </c>
      <c r="N6">
        <v>3.7055958935525199E-2</v>
      </c>
      <c r="O6">
        <v>1</v>
      </c>
      <c r="P6">
        <v>1</v>
      </c>
    </row>
    <row r="7" spans="1:16" x14ac:dyDescent="0.2">
      <c r="A7" t="s">
        <v>1</v>
      </c>
      <c r="B7">
        <v>5</v>
      </c>
      <c r="C7">
        <v>6</v>
      </c>
      <c r="D7">
        <v>4</v>
      </c>
      <c r="E7">
        <v>0</v>
      </c>
      <c r="F7" t="b">
        <v>1</v>
      </c>
      <c r="G7" t="s">
        <v>4</v>
      </c>
      <c r="H7" t="s">
        <v>3</v>
      </c>
      <c r="I7">
        <v>0</v>
      </c>
      <c r="J7">
        <v>50</v>
      </c>
      <c r="K7">
        <v>100</v>
      </c>
      <c r="L7" s="1" t="s">
        <v>5</v>
      </c>
      <c r="M7" s="1" t="s">
        <v>6</v>
      </c>
      <c r="N7" s="1" t="s">
        <v>7</v>
      </c>
      <c r="O7">
        <v>8</v>
      </c>
      <c r="P7">
        <v>1</v>
      </c>
    </row>
    <row r="8" spans="1:16" x14ac:dyDescent="0.2">
      <c r="A8" t="s">
        <v>1</v>
      </c>
      <c r="B8">
        <v>5</v>
      </c>
      <c r="C8">
        <v>6</v>
      </c>
      <c r="D8">
        <v>4</v>
      </c>
      <c r="E8">
        <v>0</v>
      </c>
      <c r="F8" t="b">
        <v>1</v>
      </c>
      <c r="G8" t="s">
        <v>2</v>
      </c>
      <c r="H8" t="s">
        <v>3</v>
      </c>
      <c r="I8">
        <v>0.01</v>
      </c>
      <c r="J8">
        <v>50</v>
      </c>
      <c r="K8">
        <v>100</v>
      </c>
      <c r="L8">
        <v>3.9255000301636703E-3</v>
      </c>
      <c r="M8">
        <v>9.8311660112813098E-3</v>
      </c>
      <c r="N8" s="1" t="s">
        <v>8</v>
      </c>
      <c r="O8">
        <v>2</v>
      </c>
      <c r="P8">
        <v>2</v>
      </c>
    </row>
    <row r="9" spans="1:16" x14ac:dyDescent="0.2">
      <c r="A9" t="s">
        <v>1</v>
      </c>
      <c r="B9">
        <v>5</v>
      </c>
      <c r="C9">
        <v>6</v>
      </c>
      <c r="D9">
        <v>4</v>
      </c>
      <c r="E9">
        <v>0</v>
      </c>
      <c r="F9" t="b">
        <v>1</v>
      </c>
      <c r="G9" t="s">
        <v>4</v>
      </c>
      <c r="H9" t="s">
        <v>3</v>
      </c>
      <c r="I9">
        <v>0.01</v>
      </c>
      <c r="J9">
        <v>50</v>
      </c>
      <c r="K9">
        <v>100</v>
      </c>
      <c r="L9">
        <v>9.8989999969489803E-3</v>
      </c>
      <c r="M9">
        <v>3.9686749980319201E-2</v>
      </c>
      <c r="N9">
        <v>4.9585749977268202E-2</v>
      </c>
      <c r="O9">
        <v>16</v>
      </c>
      <c r="P9">
        <v>2</v>
      </c>
    </row>
    <row r="10" spans="1:16" x14ac:dyDescent="0.2">
      <c r="A10" t="s">
        <v>1</v>
      </c>
      <c r="B10">
        <v>5</v>
      </c>
      <c r="C10">
        <v>6</v>
      </c>
      <c r="D10">
        <v>4</v>
      </c>
      <c r="E10">
        <v>0</v>
      </c>
      <c r="F10" t="b">
        <v>1</v>
      </c>
      <c r="G10" t="s">
        <v>2</v>
      </c>
      <c r="H10" t="s">
        <v>3</v>
      </c>
      <c r="I10">
        <v>0.05</v>
      </c>
      <c r="J10">
        <v>50</v>
      </c>
      <c r="K10">
        <v>100</v>
      </c>
      <c r="L10">
        <v>3.8033750024624099E-3</v>
      </c>
      <c r="M10">
        <v>9.4748340197838808E-3</v>
      </c>
      <c r="N10" s="1" t="s">
        <v>9</v>
      </c>
      <c r="O10">
        <v>2</v>
      </c>
      <c r="P10">
        <v>2</v>
      </c>
    </row>
    <row r="11" spans="1:16" x14ac:dyDescent="0.2">
      <c r="A11" t="s">
        <v>1</v>
      </c>
      <c r="B11">
        <v>5</v>
      </c>
      <c r="C11">
        <v>6</v>
      </c>
      <c r="D11">
        <v>4</v>
      </c>
      <c r="E11">
        <v>0</v>
      </c>
      <c r="F11" t="b">
        <v>1</v>
      </c>
      <c r="G11" t="s">
        <v>4</v>
      </c>
      <c r="H11" t="s">
        <v>3</v>
      </c>
      <c r="I11">
        <v>0.05</v>
      </c>
      <c r="J11">
        <v>50</v>
      </c>
      <c r="K11">
        <v>100</v>
      </c>
      <c r="L11">
        <v>9.9642500281333906E-3</v>
      </c>
      <c r="M11" s="1" t="s">
        <v>10</v>
      </c>
      <c r="N11">
        <v>4.8456458025611902E-2</v>
      </c>
      <c r="O11">
        <v>16</v>
      </c>
      <c r="P11">
        <v>2</v>
      </c>
    </row>
    <row r="12" spans="1:16" x14ac:dyDescent="0.2">
      <c r="A12" t="s">
        <v>1</v>
      </c>
      <c r="B12">
        <v>5</v>
      </c>
      <c r="C12">
        <v>6</v>
      </c>
      <c r="D12">
        <v>4</v>
      </c>
      <c r="E12">
        <v>0</v>
      </c>
      <c r="F12" t="b">
        <v>1</v>
      </c>
      <c r="G12" t="s">
        <v>2</v>
      </c>
      <c r="H12" t="s">
        <v>3</v>
      </c>
      <c r="I12">
        <v>0.1</v>
      </c>
      <c r="J12">
        <v>50</v>
      </c>
      <c r="K12">
        <v>100</v>
      </c>
      <c r="L12">
        <v>3.8714169641025299E-3</v>
      </c>
      <c r="M12">
        <v>9.2505409847944906E-3</v>
      </c>
      <c r="N12" s="1" t="s">
        <v>11</v>
      </c>
      <c r="O12">
        <v>2</v>
      </c>
      <c r="P12">
        <v>2</v>
      </c>
    </row>
    <row r="13" spans="1:16" x14ac:dyDescent="0.2">
      <c r="A13" t="s">
        <v>1</v>
      </c>
      <c r="B13">
        <v>5</v>
      </c>
      <c r="C13">
        <v>6</v>
      </c>
      <c r="D13">
        <v>4</v>
      </c>
      <c r="E13">
        <v>0</v>
      </c>
      <c r="F13" t="b">
        <v>1</v>
      </c>
      <c r="G13" t="s">
        <v>4</v>
      </c>
      <c r="H13" t="s">
        <v>3</v>
      </c>
      <c r="I13">
        <v>0.1</v>
      </c>
      <c r="J13">
        <v>50</v>
      </c>
      <c r="K13">
        <v>100</v>
      </c>
      <c r="L13">
        <v>9.8456250270828605E-3</v>
      </c>
      <c r="M13" s="1" t="s">
        <v>12</v>
      </c>
      <c r="N13" s="1" t="s">
        <v>13</v>
      </c>
      <c r="O13">
        <v>16</v>
      </c>
      <c r="P13">
        <v>2</v>
      </c>
    </row>
    <row r="14" spans="1:16" x14ac:dyDescent="0.2">
      <c r="A14" t="s">
        <v>1</v>
      </c>
      <c r="B14">
        <v>5</v>
      </c>
      <c r="C14">
        <v>6</v>
      </c>
      <c r="D14">
        <v>4</v>
      </c>
      <c r="E14">
        <v>1</v>
      </c>
      <c r="F14" t="b">
        <v>1</v>
      </c>
      <c r="G14" t="s">
        <v>2</v>
      </c>
      <c r="H14" t="s">
        <v>3</v>
      </c>
      <c r="I14">
        <v>0</v>
      </c>
      <c r="J14">
        <v>50</v>
      </c>
      <c r="K14">
        <v>100</v>
      </c>
      <c r="L14">
        <v>4.8410000163130401E-3</v>
      </c>
      <c r="M14" s="1" t="s">
        <v>30</v>
      </c>
      <c r="N14">
        <v>1.6889291990082701E-2</v>
      </c>
      <c r="O14">
        <v>1</v>
      </c>
      <c r="P14">
        <v>1</v>
      </c>
    </row>
    <row r="15" spans="1:16" x14ac:dyDescent="0.2">
      <c r="A15" t="s">
        <v>1</v>
      </c>
      <c r="B15">
        <v>5</v>
      </c>
      <c r="C15">
        <v>6</v>
      </c>
      <c r="D15">
        <v>4</v>
      </c>
      <c r="E15">
        <v>1</v>
      </c>
      <c r="F15" t="b">
        <v>1</v>
      </c>
      <c r="G15" t="s">
        <v>4</v>
      </c>
      <c r="H15" t="s">
        <v>3</v>
      </c>
      <c r="I15">
        <v>0</v>
      </c>
      <c r="J15">
        <v>50</v>
      </c>
      <c r="K15">
        <v>100</v>
      </c>
      <c r="L15" s="1" t="s">
        <v>31</v>
      </c>
      <c r="M15" s="1" t="s">
        <v>32</v>
      </c>
      <c r="N15" s="1" t="s">
        <v>33</v>
      </c>
      <c r="O15">
        <v>8</v>
      </c>
      <c r="P15">
        <v>1</v>
      </c>
    </row>
    <row r="16" spans="1:16" x14ac:dyDescent="0.2">
      <c r="A16" t="s">
        <v>1</v>
      </c>
      <c r="B16">
        <v>5</v>
      </c>
      <c r="C16">
        <v>6</v>
      </c>
      <c r="D16">
        <v>4</v>
      </c>
      <c r="E16">
        <v>1</v>
      </c>
      <c r="F16" t="b">
        <v>1</v>
      </c>
      <c r="G16" t="s">
        <v>2</v>
      </c>
      <c r="H16" t="s">
        <v>3</v>
      </c>
      <c r="I16">
        <v>0.01</v>
      </c>
      <c r="J16">
        <v>50</v>
      </c>
      <c r="K16">
        <v>100</v>
      </c>
      <c r="L16">
        <v>4.8263749922625703E-3</v>
      </c>
      <c r="M16">
        <v>9.8311250330880198E-3</v>
      </c>
      <c r="N16">
        <v>1.46575000253506E-2</v>
      </c>
      <c r="O16">
        <v>2</v>
      </c>
      <c r="P16">
        <v>2</v>
      </c>
    </row>
    <row r="17" spans="1:16" x14ac:dyDescent="0.2">
      <c r="A17" t="s">
        <v>1</v>
      </c>
      <c r="B17">
        <v>5</v>
      </c>
      <c r="C17">
        <v>6</v>
      </c>
      <c r="D17">
        <v>4</v>
      </c>
      <c r="E17">
        <v>1</v>
      </c>
      <c r="F17" t="b">
        <v>1</v>
      </c>
      <c r="G17" t="s">
        <v>4</v>
      </c>
      <c r="H17" t="s">
        <v>3</v>
      </c>
      <c r="I17">
        <v>0.01</v>
      </c>
      <c r="J17">
        <v>50</v>
      </c>
      <c r="K17">
        <v>100</v>
      </c>
      <c r="L17" s="1" t="s">
        <v>34</v>
      </c>
      <c r="M17">
        <v>3.9366582990623997E-2</v>
      </c>
      <c r="N17">
        <v>5.0780873978510499E-2</v>
      </c>
      <c r="O17">
        <v>16</v>
      </c>
      <c r="P17">
        <v>2</v>
      </c>
    </row>
    <row r="18" spans="1:16" x14ac:dyDescent="0.2">
      <c r="A18" t="s">
        <v>1</v>
      </c>
      <c r="B18">
        <v>5</v>
      </c>
      <c r="C18">
        <v>6</v>
      </c>
      <c r="D18">
        <v>4</v>
      </c>
      <c r="E18">
        <v>1</v>
      </c>
      <c r="F18" t="b">
        <v>1</v>
      </c>
      <c r="G18" t="s">
        <v>2</v>
      </c>
      <c r="H18" t="s">
        <v>3</v>
      </c>
      <c r="I18">
        <v>0.05</v>
      </c>
      <c r="J18">
        <v>50</v>
      </c>
      <c r="K18">
        <v>100</v>
      </c>
      <c r="L18">
        <v>4.8513750080019201E-3</v>
      </c>
      <c r="M18">
        <v>9.4713750295340998E-3</v>
      </c>
      <c r="N18" s="1" t="s">
        <v>35</v>
      </c>
      <c r="O18">
        <v>2</v>
      </c>
      <c r="P18">
        <v>2</v>
      </c>
    </row>
    <row r="19" spans="1:16" x14ac:dyDescent="0.2">
      <c r="A19" t="s">
        <v>1</v>
      </c>
      <c r="B19">
        <v>5</v>
      </c>
      <c r="C19">
        <v>6</v>
      </c>
      <c r="D19">
        <v>4</v>
      </c>
      <c r="E19">
        <v>1</v>
      </c>
      <c r="F19" t="b">
        <v>1</v>
      </c>
      <c r="G19" t="s">
        <v>4</v>
      </c>
      <c r="H19" t="s">
        <v>3</v>
      </c>
      <c r="I19">
        <v>0.05</v>
      </c>
      <c r="J19">
        <v>50</v>
      </c>
      <c r="K19">
        <v>100</v>
      </c>
      <c r="L19">
        <v>1.1197999992873501E-2</v>
      </c>
      <c r="M19" s="1" t="s">
        <v>36</v>
      </c>
      <c r="N19" s="1" t="s">
        <v>37</v>
      </c>
      <c r="O19">
        <v>16</v>
      </c>
      <c r="P19">
        <v>2</v>
      </c>
    </row>
    <row r="20" spans="1:16" x14ac:dyDescent="0.2">
      <c r="A20" t="s">
        <v>1</v>
      </c>
      <c r="B20">
        <v>5</v>
      </c>
      <c r="C20">
        <v>6</v>
      </c>
      <c r="D20">
        <v>4</v>
      </c>
      <c r="E20">
        <v>1</v>
      </c>
      <c r="F20" t="b">
        <v>1</v>
      </c>
      <c r="G20" t="s">
        <v>2</v>
      </c>
      <c r="H20" t="s">
        <v>3</v>
      </c>
      <c r="I20">
        <v>0.1</v>
      </c>
      <c r="J20">
        <v>50</v>
      </c>
      <c r="K20">
        <v>100</v>
      </c>
      <c r="L20">
        <v>4.9682920216582698E-3</v>
      </c>
      <c r="M20">
        <v>9.82912501785904E-3</v>
      </c>
      <c r="N20" s="1" t="s">
        <v>38</v>
      </c>
      <c r="O20">
        <v>2</v>
      </c>
      <c r="P20">
        <v>2</v>
      </c>
    </row>
    <row r="21" spans="1:16" x14ac:dyDescent="0.2">
      <c r="A21" t="s">
        <v>1</v>
      </c>
      <c r="B21">
        <v>5</v>
      </c>
      <c r="C21">
        <v>6</v>
      </c>
      <c r="D21">
        <v>4</v>
      </c>
      <c r="E21">
        <v>1</v>
      </c>
      <c r="F21" t="b">
        <v>1</v>
      </c>
      <c r="G21" t="s">
        <v>4</v>
      </c>
      <c r="H21" t="s">
        <v>3</v>
      </c>
      <c r="I21">
        <v>0.1</v>
      </c>
      <c r="J21">
        <v>50</v>
      </c>
      <c r="K21">
        <v>100</v>
      </c>
      <c r="L21" s="1" t="s">
        <v>39</v>
      </c>
      <c r="M21">
        <v>3.9442541019525303E-2</v>
      </c>
      <c r="N21">
        <v>5.0620957976207102E-2</v>
      </c>
      <c r="O21">
        <v>16</v>
      </c>
      <c r="P21">
        <v>2</v>
      </c>
    </row>
    <row r="22" spans="1:16" x14ac:dyDescent="0.2">
      <c r="A22" t="s">
        <v>1</v>
      </c>
      <c r="B22">
        <v>5</v>
      </c>
      <c r="C22">
        <v>6</v>
      </c>
      <c r="D22">
        <v>4</v>
      </c>
      <c r="E22">
        <v>1</v>
      </c>
      <c r="F22" t="b">
        <v>1</v>
      </c>
      <c r="G22" t="s">
        <v>2</v>
      </c>
      <c r="H22" t="s">
        <v>3</v>
      </c>
      <c r="I22">
        <v>0</v>
      </c>
      <c r="J22">
        <v>50</v>
      </c>
      <c r="K22">
        <v>100</v>
      </c>
      <c r="L22">
        <v>4.8410000163130401E-3</v>
      </c>
      <c r="M22" s="1" t="s">
        <v>30</v>
      </c>
      <c r="N22">
        <v>1.6889291990082701E-2</v>
      </c>
      <c r="O22">
        <v>1</v>
      </c>
      <c r="P22">
        <v>1</v>
      </c>
    </row>
    <row r="23" spans="1:16" x14ac:dyDescent="0.2">
      <c r="A23" t="s">
        <v>1</v>
      </c>
      <c r="B23">
        <v>5</v>
      </c>
      <c r="C23">
        <v>6</v>
      </c>
      <c r="D23">
        <v>4</v>
      </c>
      <c r="E23">
        <v>1</v>
      </c>
      <c r="F23" t="b">
        <v>1</v>
      </c>
      <c r="G23" t="s">
        <v>4</v>
      </c>
      <c r="H23" t="s">
        <v>3</v>
      </c>
      <c r="I23">
        <v>0</v>
      </c>
      <c r="J23">
        <v>50</v>
      </c>
      <c r="K23">
        <v>100</v>
      </c>
      <c r="L23" s="1" t="s">
        <v>31</v>
      </c>
      <c r="M23" s="1" t="s">
        <v>32</v>
      </c>
      <c r="N23" s="1" t="s">
        <v>33</v>
      </c>
      <c r="O23">
        <v>8</v>
      </c>
      <c r="P23">
        <v>1</v>
      </c>
    </row>
    <row r="24" spans="1:16" x14ac:dyDescent="0.2">
      <c r="A24" t="s">
        <v>1</v>
      </c>
      <c r="B24">
        <v>5</v>
      </c>
      <c r="C24">
        <v>6</v>
      </c>
      <c r="D24">
        <v>4</v>
      </c>
      <c r="E24">
        <v>1</v>
      </c>
      <c r="F24" t="b">
        <v>1</v>
      </c>
      <c r="G24" t="s">
        <v>2</v>
      </c>
      <c r="H24" t="s">
        <v>3</v>
      </c>
      <c r="I24">
        <v>0.01</v>
      </c>
      <c r="J24">
        <v>50</v>
      </c>
      <c r="K24">
        <v>100</v>
      </c>
      <c r="L24">
        <v>4.8263749922625703E-3</v>
      </c>
      <c r="M24">
        <v>9.8311250330880198E-3</v>
      </c>
      <c r="N24">
        <v>1.46575000253506E-2</v>
      </c>
      <c r="O24">
        <v>2</v>
      </c>
      <c r="P24">
        <v>2</v>
      </c>
    </row>
    <row r="25" spans="1:16" x14ac:dyDescent="0.2">
      <c r="A25" t="s">
        <v>1</v>
      </c>
      <c r="B25">
        <v>5</v>
      </c>
      <c r="C25">
        <v>6</v>
      </c>
      <c r="D25">
        <v>4</v>
      </c>
      <c r="E25">
        <v>1</v>
      </c>
      <c r="F25" t="b">
        <v>1</v>
      </c>
      <c r="G25" t="s">
        <v>4</v>
      </c>
      <c r="H25" t="s">
        <v>3</v>
      </c>
      <c r="I25">
        <v>0.01</v>
      </c>
      <c r="J25">
        <v>50</v>
      </c>
      <c r="K25">
        <v>100</v>
      </c>
      <c r="L25" s="1" t="s">
        <v>34</v>
      </c>
      <c r="M25">
        <v>3.9366582990623997E-2</v>
      </c>
      <c r="N25">
        <v>5.0780873978510499E-2</v>
      </c>
      <c r="O25">
        <v>16</v>
      </c>
      <c r="P25">
        <v>2</v>
      </c>
    </row>
    <row r="26" spans="1:16" x14ac:dyDescent="0.2">
      <c r="A26" t="s">
        <v>1</v>
      </c>
      <c r="B26">
        <v>5</v>
      </c>
      <c r="C26">
        <v>6</v>
      </c>
      <c r="D26">
        <v>4</v>
      </c>
      <c r="E26">
        <v>1</v>
      </c>
      <c r="F26" t="b">
        <v>1</v>
      </c>
      <c r="G26" t="s">
        <v>2</v>
      </c>
      <c r="H26" t="s">
        <v>3</v>
      </c>
      <c r="I26">
        <v>0.05</v>
      </c>
      <c r="J26">
        <v>50</v>
      </c>
      <c r="K26">
        <v>100</v>
      </c>
      <c r="L26">
        <v>4.8513750080019201E-3</v>
      </c>
      <c r="M26">
        <v>9.4713750295340998E-3</v>
      </c>
      <c r="N26" s="1" t="s">
        <v>35</v>
      </c>
      <c r="O26">
        <v>2</v>
      </c>
      <c r="P26">
        <v>2</v>
      </c>
    </row>
    <row r="27" spans="1:16" x14ac:dyDescent="0.2">
      <c r="A27" t="s">
        <v>1</v>
      </c>
      <c r="B27">
        <v>5</v>
      </c>
      <c r="C27">
        <v>6</v>
      </c>
      <c r="D27">
        <v>4</v>
      </c>
      <c r="E27">
        <v>1</v>
      </c>
      <c r="F27" t="b">
        <v>1</v>
      </c>
      <c r="G27" t="s">
        <v>4</v>
      </c>
      <c r="H27" t="s">
        <v>3</v>
      </c>
      <c r="I27">
        <v>0.05</v>
      </c>
      <c r="J27">
        <v>50</v>
      </c>
      <c r="K27">
        <v>100</v>
      </c>
      <c r="L27">
        <v>1.1197999992873501E-2</v>
      </c>
      <c r="M27" s="1" t="s">
        <v>36</v>
      </c>
      <c r="N27" s="1" t="s">
        <v>37</v>
      </c>
      <c r="O27">
        <v>16</v>
      </c>
      <c r="P27">
        <v>2</v>
      </c>
    </row>
    <row r="28" spans="1:16" x14ac:dyDescent="0.2">
      <c r="A28" t="s">
        <v>1</v>
      </c>
      <c r="B28">
        <v>5</v>
      </c>
      <c r="C28">
        <v>6</v>
      </c>
      <c r="D28">
        <v>4</v>
      </c>
      <c r="E28">
        <v>1</v>
      </c>
      <c r="F28" t="b">
        <v>1</v>
      </c>
      <c r="G28" t="s">
        <v>2</v>
      </c>
      <c r="H28" t="s">
        <v>3</v>
      </c>
      <c r="I28">
        <v>0.1</v>
      </c>
      <c r="J28">
        <v>50</v>
      </c>
      <c r="K28">
        <v>100</v>
      </c>
      <c r="L28">
        <v>4.9682920216582698E-3</v>
      </c>
      <c r="M28">
        <v>9.82912501785904E-3</v>
      </c>
      <c r="N28" s="1" t="s">
        <v>38</v>
      </c>
      <c r="O28">
        <v>2</v>
      </c>
      <c r="P28">
        <v>2</v>
      </c>
    </row>
    <row r="29" spans="1:16" x14ac:dyDescent="0.2">
      <c r="A29" t="s">
        <v>1</v>
      </c>
      <c r="B29">
        <v>5</v>
      </c>
      <c r="C29">
        <v>6</v>
      </c>
      <c r="D29">
        <v>4</v>
      </c>
      <c r="E29">
        <v>1</v>
      </c>
      <c r="F29" t="b">
        <v>1</v>
      </c>
      <c r="G29" t="s">
        <v>4</v>
      </c>
      <c r="H29" t="s">
        <v>3</v>
      </c>
      <c r="I29">
        <v>0.1</v>
      </c>
      <c r="J29">
        <v>50</v>
      </c>
      <c r="K29">
        <v>100</v>
      </c>
      <c r="L29" s="1" t="s">
        <v>39</v>
      </c>
      <c r="M29">
        <v>3.9442541019525303E-2</v>
      </c>
      <c r="N29">
        <v>5.0620957976207102E-2</v>
      </c>
      <c r="O29">
        <v>16</v>
      </c>
      <c r="P29">
        <v>2</v>
      </c>
    </row>
    <row r="30" spans="1:16" x14ac:dyDescent="0.2">
      <c r="A30" t="s">
        <v>1</v>
      </c>
      <c r="B30">
        <v>5</v>
      </c>
      <c r="C30">
        <v>6</v>
      </c>
      <c r="D30">
        <v>4</v>
      </c>
      <c r="E30">
        <v>2</v>
      </c>
      <c r="F30" t="b">
        <v>1</v>
      </c>
      <c r="G30" t="s">
        <v>2</v>
      </c>
      <c r="H30" t="s">
        <v>3</v>
      </c>
      <c r="I30">
        <v>0</v>
      </c>
      <c r="J30">
        <v>50</v>
      </c>
      <c r="K30">
        <v>100</v>
      </c>
      <c r="L30">
        <v>5.7290000258944903E-3</v>
      </c>
      <c r="M30" s="1" t="s">
        <v>177</v>
      </c>
      <c r="N30" s="1" t="s">
        <v>178</v>
      </c>
      <c r="O30">
        <v>1</v>
      </c>
      <c r="P30">
        <v>1</v>
      </c>
    </row>
    <row r="31" spans="1:16" x14ac:dyDescent="0.2">
      <c r="A31" t="s">
        <v>1</v>
      </c>
      <c r="B31">
        <v>5</v>
      </c>
      <c r="C31">
        <v>6</v>
      </c>
      <c r="D31">
        <v>4</v>
      </c>
      <c r="E31">
        <v>2</v>
      </c>
      <c r="F31" t="b">
        <v>1</v>
      </c>
      <c r="G31" t="s">
        <v>4</v>
      </c>
      <c r="H31" t="s">
        <v>3</v>
      </c>
      <c r="I31">
        <v>0</v>
      </c>
      <c r="J31">
        <v>50</v>
      </c>
      <c r="K31">
        <v>100</v>
      </c>
      <c r="L31" s="1" t="s">
        <v>179</v>
      </c>
      <c r="M31" s="1" t="s">
        <v>180</v>
      </c>
      <c r="N31">
        <v>5.4256041999906301E-2</v>
      </c>
      <c r="O31">
        <v>16</v>
      </c>
      <c r="P31">
        <v>1</v>
      </c>
    </row>
    <row r="32" spans="1:16" x14ac:dyDescent="0.2">
      <c r="A32" t="s">
        <v>1</v>
      </c>
      <c r="B32">
        <v>5</v>
      </c>
      <c r="C32">
        <v>6</v>
      </c>
      <c r="D32">
        <v>4</v>
      </c>
      <c r="E32">
        <v>2</v>
      </c>
      <c r="F32" t="b">
        <v>1</v>
      </c>
      <c r="G32" t="s">
        <v>2</v>
      </c>
      <c r="H32" t="s">
        <v>3</v>
      </c>
      <c r="I32">
        <v>0.01</v>
      </c>
      <c r="J32">
        <v>50</v>
      </c>
      <c r="K32">
        <v>100</v>
      </c>
      <c r="L32">
        <v>5.7553339865989896E-3</v>
      </c>
      <c r="M32" s="1" t="s">
        <v>181</v>
      </c>
      <c r="N32">
        <v>1.7863001034129401E-2</v>
      </c>
      <c r="O32">
        <v>2</v>
      </c>
      <c r="P32">
        <v>2</v>
      </c>
    </row>
    <row r="33" spans="1:16" x14ac:dyDescent="0.2">
      <c r="A33" t="s">
        <v>1</v>
      </c>
      <c r="B33">
        <v>5</v>
      </c>
      <c r="C33">
        <v>6</v>
      </c>
      <c r="D33">
        <v>4</v>
      </c>
      <c r="E33">
        <v>2</v>
      </c>
      <c r="F33" t="b">
        <v>1</v>
      </c>
      <c r="G33" t="s">
        <v>4</v>
      </c>
      <c r="H33" t="s">
        <v>3</v>
      </c>
      <c r="I33">
        <v>0.01</v>
      </c>
      <c r="J33">
        <v>50</v>
      </c>
      <c r="K33">
        <v>100</v>
      </c>
      <c r="L33" s="1" t="s">
        <v>182</v>
      </c>
      <c r="M33">
        <v>4.32321249973028E-2</v>
      </c>
      <c r="N33">
        <v>5.6644999946001903E-2</v>
      </c>
      <c r="O33">
        <v>16</v>
      </c>
      <c r="P33">
        <v>2</v>
      </c>
    </row>
    <row r="34" spans="1:16" x14ac:dyDescent="0.2">
      <c r="A34" t="s">
        <v>1</v>
      </c>
      <c r="B34">
        <v>5</v>
      </c>
      <c r="C34">
        <v>6</v>
      </c>
      <c r="D34">
        <v>4</v>
      </c>
      <c r="E34">
        <v>2</v>
      </c>
      <c r="F34" t="b">
        <v>1</v>
      </c>
      <c r="G34" t="s">
        <v>2</v>
      </c>
      <c r="H34" t="s">
        <v>3</v>
      </c>
      <c r="I34">
        <v>0.05</v>
      </c>
      <c r="J34">
        <v>50</v>
      </c>
      <c r="K34">
        <v>100</v>
      </c>
      <c r="L34">
        <v>5.7482909760437897E-3</v>
      </c>
      <c r="M34">
        <v>3.2691667031031102E-2</v>
      </c>
      <c r="N34">
        <v>3.8439958007074802E-2</v>
      </c>
      <c r="O34">
        <v>4</v>
      </c>
      <c r="P34">
        <v>4</v>
      </c>
    </row>
    <row r="35" spans="1:16" x14ac:dyDescent="0.2">
      <c r="A35" t="s">
        <v>1</v>
      </c>
      <c r="B35">
        <v>5</v>
      </c>
      <c r="C35">
        <v>6</v>
      </c>
      <c r="D35">
        <v>4</v>
      </c>
      <c r="E35">
        <v>2</v>
      </c>
      <c r="F35" t="b">
        <v>1</v>
      </c>
      <c r="G35" t="s">
        <v>4</v>
      </c>
      <c r="H35" t="s">
        <v>3</v>
      </c>
      <c r="I35">
        <v>0.05</v>
      </c>
      <c r="J35">
        <v>50</v>
      </c>
      <c r="K35">
        <v>100</v>
      </c>
      <c r="L35" s="1" t="s">
        <v>183</v>
      </c>
      <c r="M35">
        <v>4.09830420394428E-2</v>
      </c>
      <c r="N35" s="1" t="s">
        <v>184</v>
      </c>
      <c r="O35">
        <v>16</v>
      </c>
      <c r="P35">
        <v>4</v>
      </c>
    </row>
    <row r="36" spans="1:16" x14ac:dyDescent="0.2">
      <c r="A36" t="s">
        <v>1</v>
      </c>
      <c r="B36">
        <v>5</v>
      </c>
      <c r="C36">
        <v>6</v>
      </c>
      <c r="D36">
        <v>4</v>
      </c>
      <c r="E36">
        <v>2</v>
      </c>
      <c r="F36" t="b">
        <v>1</v>
      </c>
      <c r="G36" t="s">
        <v>2</v>
      </c>
      <c r="H36" t="s">
        <v>3</v>
      </c>
      <c r="I36">
        <v>0.1</v>
      </c>
      <c r="J36">
        <v>50</v>
      </c>
      <c r="K36">
        <v>100</v>
      </c>
      <c r="L36">
        <v>5.8283339603804E-3</v>
      </c>
      <c r="M36" s="1" t="s">
        <v>185</v>
      </c>
      <c r="N36" s="1" t="s">
        <v>186</v>
      </c>
      <c r="O36">
        <v>4</v>
      </c>
      <c r="P36">
        <v>4</v>
      </c>
    </row>
    <row r="37" spans="1:16" x14ac:dyDescent="0.2">
      <c r="A37" t="s">
        <v>1</v>
      </c>
      <c r="B37">
        <v>5</v>
      </c>
      <c r="C37">
        <v>6</v>
      </c>
      <c r="D37">
        <v>4</v>
      </c>
      <c r="E37">
        <v>2</v>
      </c>
      <c r="F37" t="b">
        <v>1</v>
      </c>
      <c r="G37" t="s">
        <v>4</v>
      </c>
      <c r="H37" t="s">
        <v>3</v>
      </c>
      <c r="I37">
        <v>0.1</v>
      </c>
      <c r="J37">
        <v>50</v>
      </c>
      <c r="K37">
        <v>100</v>
      </c>
      <c r="L37" s="1" t="s">
        <v>187</v>
      </c>
      <c r="M37">
        <v>4.1255332995206097E-2</v>
      </c>
      <c r="N37">
        <v>5.4334207961801398E-2</v>
      </c>
      <c r="O37">
        <v>16</v>
      </c>
      <c r="P37">
        <v>4</v>
      </c>
    </row>
    <row r="41" spans="1:16" x14ac:dyDescent="0.2">
      <c r="A41" t="s">
        <v>40</v>
      </c>
      <c r="B41">
        <v>14</v>
      </c>
      <c r="C41">
        <v>20</v>
      </c>
      <c r="D41">
        <v>2</v>
      </c>
      <c r="E41">
        <v>0</v>
      </c>
      <c r="F41" t="b">
        <v>1</v>
      </c>
      <c r="G41" t="s">
        <v>2</v>
      </c>
      <c r="H41" t="s">
        <v>3</v>
      </c>
      <c r="I41">
        <v>0</v>
      </c>
      <c r="J41">
        <v>1000</v>
      </c>
      <c r="K41">
        <v>100</v>
      </c>
      <c r="L41">
        <v>3.8219589623622501E-3</v>
      </c>
      <c r="M41" s="1" t="s">
        <v>41</v>
      </c>
      <c r="N41" s="1" t="s">
        <v>42</v>
      </c>
      <c r="O41">
        <v>1</v>
      </c>
      <c r="P41">
        <v>1</v>
      </c>
    </row>
    <row r="42" spans="1:16" x14ac:dyDescent="0.2">
      <c r="A42" t="s">
        <v>40</v>
      </c>
      <c r="B42">
        <v>14</v>
      </c>
      <c r="C42">
        <v>20</v>
      </c>
      <c r="D42">
        <v>2</v>
      </c>
      <c r="E42">
        <v>0</v>
      </c>
      <c r="F42" t="b">
        <v>1</v>
      </c>
      <c r="G42" t="s">
        <v>4</v>
      </c>
      <c r="H42" t="s">
        <v>3</v>
      </c>
      <c r="I42">
        <v>0</v>
      </c>
      <c r="J42">
        <v>1000</v>
      </c>
      <c r="K42">
        <v>100</v>
      </c>
      <c r="L42" s="1" t="s">
        <v>43</v>
      </c>
      <c r="M42">
        <v>1.35978750186041E-2</v>
      </c>
      <c r="N42">
        <v>2.50757079920731E-2</v>
      </c>
      <c r="O42">
        <v>2</v>
      </c>
      <c r="P42">
        <v>1</v>
      </c>
    </row>
    <row r="43" spans="1:16" x14ac:dyDescent="0.2">
      <c r="A43" t="s">
        <v>40</v>
      </c>
      <c r="B43">
        <v>14</v>
      </c>
      <c r="C43">
        <v>20</v>
      </c>
      <c r="D43">
        <v>2</v>
      </c>
      <c r="E43">
        <v>0</v>
      </c>
      <c r="F43" t="b">
        <v>1</v>
      </c>
      <c r="G43" t="s">
        <v>2</v>
      </c>
      <c r="H43" t="s">
        <v>3</v>
      </c>
      <c r="I43">
        <v>0.01</v>
      </c>
      <c r="J43">
        <v>1000</v>
      </c>
      <c r="K43">
        <v>100</v>
      </c>
      <c r="L43">
        <v>4.0992090362124102E-3</v>
      </c>
      <c r="M43" s="1" t="s">
        <v>44</v>
      </c>
      <c r="N43">
        <v>1.4106084010563701E-2</v>
      </c>
      <c r="O43">
        <v>2</v>
      </c>
      <c r="P43">
        <v>2</v>
      </c>
    </row>
    <row r="44" spans="1:16" x14ac:dyDescent="0.2">
      <c r="A44" t="s">
        <v>40</v>
      </c>
      <c r="B44">
        <v>14</v>
      </c>
      <c r="C44">
        <v>20</v>
      </c>
      <c r="D44">
        <v>2</v>
      </c>
      <c r="E44">
        <v>0</v>
      </c>
      <c r="F44" t="b">
        <v>1</v>
      </c>
      <c r="G44" t="s">
        <v>4</v>
      </c>
      <c r="H44" t="s">
        <v>3</v>
      </c>
      <c r="I44">
        <v>0.01</v>
      </c>
      <c r="J44">
        <v>1000</v>
      </c>
      <c r="K44">
        <v>100</v>
      </c>
      <c r="L44" s="1" t="s">
        <v>45</v>
      </c>
      <c r="M44">
        <v>1.71585000352934E-2</v>
      </c>
      <c r="N44" s="1" t="s">
        <v>46</v>
      </c>
      <c r="O44">
        <v>4</v>
      </c>
      <c r="P44">
        <v>2</v>
      </c>
    </row>
    <row r="45" spans="1:16" x14ac:dyDescent="0.2">
      <c r="A45" t="s">
        <v>40</v>
      </c>
      <c r="B45">
        <v>14</v>
      </c>
      <c r="C45">
        <v>20</v>
      </c>
      <c r="D45">
        <v>2</v>
      </c>
      <c r="E45">
        <v>0</v>
      </c>
      <c r="F45" t="b">
        <v>1</v>
      </c>
      <c r="G45" t="s">
        <v>2</v>
      </c>
      <c r="H45" t="s">
        <v>3</v>
      </c>
      <c r="I45">
        <v>0.05</v>
      </c>
      <c r="J45">
        <v>1000</v>
      </c>
      <c r="K45">
        <v>100</v>
      </c>
      <c r="L45">
        <v>3.6986659979447701E-3</v>
      </c>
      <c r="M45">
        <v>9.6126249991357292E-3</v>
      </c>
      <c r="N45" s="1" t="s">
        <v>47</v>
      </c>
      <c r="O45">
        <v>2</v>
      </c>
      <c r="P45">
        <v>2</v>
      </c>
    </row>
    <row r="46" spans="1:16" x14ac:dyDescent="0.2">
      <c r="A46" t="s">
        <v>40</v>
      </c>
      <c r="B46">
        <v>14</v>
      </c>
      <c r="C46">
        <v>20</v>
      </c>
      <c r="D46">
        <v>2</v>
      </c>
      <c r="E46">
        <v>0</v>
      </c>
      <c r="F46" t="b">
        <v>1</v>
      </c>
      <c r="G46" t="s">
        <v>4</v>
      </c>
      <c r="H46" t="s">
        <v>3</v>
      </c>
      <c r="I46">
        <v>0.05</v>
      </c>
      <c r="J46">
        <v>1000</v>
      </c>
      <c r="K46">
        <v>100</v>
      </c>
      <c r="L46" s="1" t="s">
        <v>48</v>
      </c>
      <c r="M46" s="1" t="s">
        <v>49</v>
      </c>
      <c r="N46">
        <v>2.8001042024698101E-2</v>
      </c>
      <c r="O46">
        <v>4</v>
      </c>
      <c r="P46">
        <v>2</v>
      </c>
    </row>
    <row r="47" spans="1:16" x14ac:dyDescent="0.2">
      <c r="A47" t="s">
        <v>40</v>
      </c>
      <c r="B47">
        <v>14</v>
      </c>
      <c r="C47">
        <v>20</v>
      </c>
      <c r="D47">
        <v>2</v>
      </c>
      <c r="E47">
        <v>0</v>
      </c>
      <c r="F47" t="b">
        <v>1</v>
      </c>
      <c r="G47" t="s">
        <v>2</v>
      </c>
      <c r="H47" t="s">
        <v>3</v>
      </c>
      <c r="I47">
        <v>0.1</v>
      </c>
      <c r="J47">
        <v>1000</v>
      </c>
      <c r="K47">
        <v>100</v>
      </c>
      <c r="L47">
        <v>3.94125003367662E-3</v>
      </c>
      <c r="M47">
        <v>9.8437499837018497E-3</v>
      </c>
      <c r="N47">
        <v>1.3785000017378399E-2</v>
      </c>
      <c r="O47">
        <v>2</v>
      </c>
      <c r="P47">
        <v>2</v>
      </c>
    </row>
    <row r="48" spans="1:16" x14ac:dyDescent="0.2">
      <c r="A48" t="s">
        <v>40</v>
      </c>
      <c r="B48">
        <v>14</v>
      </c>
      <c r="C48">
        <v>20</v>
      </c>
      <c r="D48">
        <v>2</v>
      </c>
      <c r="E48">
        <v>0</v>
      </c>
      <c r="F48" t="b">
        <v>1</v>
      </c>
      <c r="G48" t="s">
        <v>4</v>
      </c>
      <c r="H48" t="s">
        <v>3</v>
      </c>
      <c r="I48">
        <v>0.1</v>
      </c>
      <c r="J48">
        <v>1000</v>
      </c>
      <c r="K48">
        <v>100</v>
      </c>
      <c r="L48" s="1" t="s">
        <v>50</v>
      </c>
      <c r="M48">
        <v>1.6988583025522499E-2</v>
      </c>
      <c r="N48" s="1" t="s">
        <v>51</v>
      </c>
      <c r="O48">
        <v>4</v>
      </c>
      <c r="P48">
        <v>2</v>
      </c>
    </row>
    <row r="49" spans="1:16" x14ac:dyDescent="0.2">
      <c r="A49" t="s">
        <v>40</v>
      </c>
      <c r="B49">
        <v>14</v>
      </c>
      <c r="C49">
        <v>20</v>
      </c>
      <c r="D49">
        <v>2</v>
      </c>
      <c r="E49">
        <v>1</v>
      </c>
      <c r="F49" t="b">
        <v>1</v>
      </c>
      <c r="G49" t="s">
        <v>4</v>
      </c>
      <c r="H49" t="s">
        <v>3</v>
      </c>
      <c r="I49">
        <v>0</v>
      </c>
      <c r="J49">
        <v>1000</v>
      </c>
      <c r="K49">
        <v>100</v>
      </c>
      <c r="L49" s="1" t="s">
        <v>52</v>
      </c>
      <c r="M49">
        <v>1.2424374988768199E-2</v>
      </c>
      <c r="N49" s="1" t="s">
        <v>53</v>
      </c>
      <c r="O49">
        <v>2</v>
      </c>
      <c r="P49">
        <v>1</v>
      </c>
    </row>
    <row r="50" spans="1:16" x14ac:dyDescent="0.2">
      <c r="A50" t="s">
        <v>40</v>
      </c>
      <c r="B50">
        <v>14</v>
      </c>
      <c r="C50">
        <v>20</v>
      </c>
      <c r="D50">
        <v>2</v>
      </c>
      <c r="E50">
        <v>1</v>
      </c>
      <c r="F50" t="b">
        <v>1</v>
      </c>
      <c r="G50" t="s">
        <v>2</v>
      </c>
      <c r="H50" t="s">
        <v>3</v>
      </c>
      <c r="I50">
        <v>0.01</v>
      </c>
      <c r="J50">
        <v>1000</v>
      </c>
      <c r="K50">
        <v>100</v>
      </c>
      <c r="L50">
        <v>6.0429580044001297E-3</v>
      </c>
      <c r="M50" s="1" t="s">
        <v>54</v>
      </c>
      <c r="N50" s="1" t="s">
        <v>55</v>
      </c>
      <c r="O50">
        <v>2</v>
      </c>
      <c r="P50">
        <v>2</v>
      </c>
    </row>
    <row r="51" spans="1:16" x14ac:dyDescent="0.2">
      <c r="A51" t="s">
        <v>40</v>
      </c>
      <c r="B51">
        <v>14</v>
      </c>
      <c r="C51">
        <v>20</v>
      </c>
      <c r="D51">
        <v>2</v>
      </c>
      <c r="E51">
        <v>1</v>
      </c>
      <c r="F51" t="b">
        <v>1</v>
      </c>
      <c r="G51" t="s">
        <v>4</v>
      </c>
      <c r="H51" t="s">
        <v>3</v>
      </c>
      <c r="I51">
        <v>0.01</v>
      </c>
      <c r="J51">
        <v>1000</v>
      </c>
      <c r="K51">
        <v>100</v>
      </c>
      <c r="L51" s="1" t="s">
        <v>56</v>
      </c>
      <c r="M51" s="1" t="s">
        <v>57</v>
      </c>
      <c r="N51">
        <v>3.7759375001769499E-2</v>
      </c>
      <c r="O51">
        <v>4</v>
      </c>
      <c r="P51">
        <v>2</v>
      </c>
    </row>
    <row r="52" spans="1:16" x14ac:dyDescent="0.2">
      <c r="A52" t="s">
        <v>40</v>
      </c>
      <c r="B52">
        <v>14</v>
      </c>
      <c r="C52">
        <v>20</v>
      </c>
      <c r="D52">
        <v>2</v>
      </c>
      <c r="E52">
        <v>1</v>
      </c>
      <c r="F52" t="b">
        <v>1</v>
      </c>
      <c r="G52" t="s">
        <v>2</v>
      </c>
      <c r="H52" t="s">
        <v>3</v>
      </c>
      <c r="I52">
        <v>0.05</v>
      </c>
      <c r="J52">
        <v>1000</v>
      </c>
      <c r="K52">
        <v>100</v>
      </c>
      <c r="L52">
        <v>6.1315839993767397E-3</v>
      </c>
      <c r="M52" s="1" t="s">
        <v>58</v>
      </c>
      <c r="N52" s="1" t="s">
        <v>59</v>
      </c>
      <c r="O52">
        <v>2</v>
      </c>
      <c r="P52">
        <v>2</v>
      </c>
    </row>
    <row r="53" spans="1:16" x14ac:dyDescent="0.2">
      <c r="A53" t="s">
        <v>40</v>
      </c>
      <c r="B53">
        <v>14</v>
      </c>
      <c r="C53">
        <v>20</v>
      </c>
      <c r="D53">
        <v>2</v>
      </c>
      <c r="E53">
        <v>1</v>
      </c>
      <c r="F53" t="b">
        <v>1</v>
      </c>
      <c r="G53" t="s">
        <v>4</v>
      </c>
      <c r="H53" t="s">
        <v>3</v>
      </c>
      <c r="I53">
        <v>0.05</v>
      </c>
      <c r="J53">
        <v>1000</v>
      </c>
      <c r="K53">
        <v>100</v>
      </c>
      <c r="L53">
        <v>1.6482207982335201E-2</v>
      </c>
      <c r="M53" s="1" t="s">
        <v>60</v>
      </c>
      <c r="N53">
        <v>3.4348998975474297E-2</v>
      </c>
      <c r="O53">
        <v>4</v>
      </c>
      <c r="P53">
        <v>2</v>
      </c>
    </row>
    <row r="54" spans="1:16" x14ac:dyDescent="0.2">
      <c r="A54" t="s">
        <v>40</v>
      </c>
      <c r="B54">
        <v>14</v>
      </c>
      <c r="C54">
        <v>20</v>
      </c>
      <c r="D54">
        <v>2</v>
      </c>
      <c r="E54">
        <v>1</v>
      </c>
      <c r="F54" t="b">
        <v>1</v>
      </c>
      <c r="G54" t="s">
        <v>2</v>
      </c>
      <c r="H54" t="s">
        <v>3</v>
      </c>
      <c r="I54">
        <v>0.1</v>
      </c>
      <c r="J54">
        <v>1000</v>
      </c>
      <c r="K54">
        <v>100</v>
      </c>
      <c r="L54">
        <v>5.88804099243134E-3</v>
      </c>
      <c r="M54" s="1" t="s">
        <v>61</v>
      </c>
      <c r="N54" s="1" t="s">
        <v>62</v>
      </c>
      <c r="O54">
        <v>2</v>
      </c>
      <c r="P54">
        <v>2</v>
      </c>
    </row>
    <row r="55" spans="1:16" x14ac:dyDescent="0.2">
      <c r="A55" t="s">
        <v>40</v>
      </c>
      <c r="B55">
        <v>14</v>
      </c>
      <c r="C55">
        <v>20</v>
      </c>
      <c r="D55">
        <v>2</v>
      </c>
      <c r="E55">
        <v>1</v>
      </c>
      <c r="F55" t="b">
        <v>1</v>
      </c>
      <c r="G55" t="s">
        <v>4</v>
      </c>
      <c r="H55" t="s">
        <v>3</v>
      </c>
      <c r="I55">
        <v>0.1</v>
      </c>
      <c r="J55">
        <v>1000</v>
      </c>
      <c r="K55">
        <v>100</v>
      </c>
      <c r="L55" s="1" t="s">
        <v>63</v>
      </c>
      <c r="M55" s="1" t="s">
        <v>64</v>
      </c>
      <c r="N55">
        <v>3.3988166949711698E-2</v>
      </c>
      <c r="O55">
        <v>4</v>
      </c>
      <c r="P55">
        <v>2</v>
      </c>
    </row>
    <row r="56" spans="1:16" x14ac:dyDescent="0.2">
      <c r="A56" t="s">
        <v>40</v>
      </c>
      <c r="B56">
        <v>14</v>
      </c>
      <c r="C56">
        <v>20</v>
      </c>
      <c r="D56">
        <v>2</v>
      </c>
      <c r="E56">
        <v>1</v>
      </c>
      <c r="F56" t="b">
        <v>1</v>
      </c>
      <c r="G56" t="s">
        <v>4</v>
      </c>
      <c r="H56" t="s">
        <v>3</v>
      </c>
      <c r="I56">
        <v>0</v>
      </c>
      <c r="J56">
        <v>1000</v>
      </c>
      <c r="K56">
        <v>100</v>
      </c>
      <c r="L56" s="1" t="s">
        <v>52</v>
      </c>
      <c r="M56">
        <v>1.2424374988768199E-2</v>
      </c>
      <c r="N56" s="1" t="s">
        <v>53</v>
      </c>
      <c r="O56">
        <v>2</v>
      </c>
      <c r="P56">
        <v>1</v>
      </c>
    </row>
    <row r="57" spans="1:16" x14ac:dyDescent="0.2">
      <c r="A57" t="s">
        <v>40</v>
      </c>
      <c r="B57">
        <v>14</v>
      </c>
      <c r="C57">
        <v>20</v>
      </c>
      <c r="D57">
        <v>2</v>
      </c>
      <c r="E57">
        <v>1</v>
      </c>
      <c r="F57" t="b">
        <v>1</v>
      </c>
      <c r="G57" t="s">
        <v>2</v>
      </c>
      <c r="H57" t="s">
        <v>3</v>
      </c>
      <c r="I57">
        <v>0.01</v>
      </c>
      <c r="J57">
        <v>1000</v>
      </c>
      <c r="K57">
        <v>100</v>
      </c>
      <c r="L57">
        <v>6.0429580044001297E-3</v>
      </c>
      <c r="M57" s="1" t="s">
        <v>54</v>
      </c>
      <c r="N57" s="1" t="s">
        <v>55</v>
      </c>
      <c r="O57">
        <v>2</v>
      </c>
      <c r="P57">
        <v>2</v>
      </c>
    </row>
    <row r="58" spans="1:16" x14ac:dyDescent="0.2">
      <c r="A58" t="s">
        <v>40</v>
      </c>
      <c r="B58">
        <v>14</v>
      </c>
      <c r="C58">
        <v>20</v>
      </c>
      <c r="D58">
        <v>2</v>
      </c>
      <c r="E58">
        <v>1</v>
      </c>
      <c r="F58" t="b">
        <v>1</v>
      </c>
      <c r="G58" t="s">
        <v>4</v>
      </c>
      <c r="H58" t="s">
        <v>3</v>
      </c>
      <c r="I58">
        <v>0.01</v>
      </c>
      <c r="J58">
        <v>1000</v>
      </c>
      <c r="K58">
        <v>100</v>
      </c>
      <c r="L58" s="1" t="s">
        <v>56</v>
      </c>
      <c r="M58" s="1" t="s">
        <v>57</v>
      </c>
      <c r="N58">
        <v>3.7759375001769499E-2</v>
      </c>
      <c r="O58">
        <v>4</v>
      </c>
      <c r="P58">
        <v>2</v>
      </c>
    </row>
    <row r="59" spans="1:16" x14ac:dyDescent="0.2">
      <c r="A59" t="s">
        <v>40</v>
      </c>
      <c r="B59">
        <v>14</v>
      </c>
      <c r="C59">
        <v>20</v>
      </c>
      <c r="D59">
        <v>2</v>
      </c>
      <c r="E59">
        <v>1</v>
      </c>
      <c r="F59" t="b">
        <v>1</v>
      </c>
      <c r="G59" t="s">
        <v>2</v>
      </c>
      <c r="H59" t="s">
        <v>3</v>
      </c>
      <c r="I59">
        <v>0.05</v>
      </c>
      <c r="J59">
        <v>1000</v>
      </c>
      <c r="K59">
        <v>100</v>
      </c>
      <c r="L59">
        <v>6.1315839993767397E-3</v>
      </c>
      <c r="M59" s="1" t="s">
        <v>58</v>
      </c>
      <c r="N59" s="1" t="s">
        <v>59</v>
      </c>
      <c r="O59">
        <v>2</v>
      </c>
      <c r="P59">
        <v>2</v>
      </c>
    </row>
    <row r="60" spans="1:16" x14ac:dyDescent="0.2">
      <c r="A60" t="s">
        <v>40</v>
      </c>
      <c r="B60">
        <v>14</v>
      </c>
      <c r="C60">
        <v>20</v>
      </c>
      <c r="D60">
        <v>2</v>
      </c>
      <c r="E60">
        <v>1</v>
      </c>
      <c r="F60" t="b">
        <v>1</v>
      </c>
      <c r="G60" t="s">
        <v>4</v>
      </c>
      <c r="H60" t="s">
        <v>3</v>
      </c>
      <c r="I60">
        <v>0.05</v>
      </c>
      <c r="J60">
        <v>1000</v>
      </c>
      <c r="K60">
        <v>100</v>
      </c>
      <c r="L60">
        <v>1.6482207982335201E-2</v>
      </c>
      <c r="M60" s="1" t="s">
        <v>60</v>
      </c>
      <c r="N60">
        <v>3.4348998975474297E-2</v>
      </c>
      <c r="O60">
        <v>4</v>
      </c>
      <c r="P60">
        <v>2</v>
      </c>
    </row>
    <row r="61" spans="1:16" x14ac:dyDescent="0.2">
      <c r="A61" t="s">
        <v>40</v>
      </c>
      <c r="B61">
        <v>14</v>
      </c>
      <c r="C61">
        <v>20</v>
      </c>
      <c r="D61">
        <v>2</v>
      </c>
      <c r="E61">
        <v>1</v>
      </c>
      <c r="F61" t="b">
        <v>1</v>
      </c>
      <c r="G61" t="s">
        <v>2</v>
      </c>
      <c r="H61" t="s">
        <v>3</v>
      </c>
      <c r="I61">
        <v>0.1</v>
      </c>
      <c r="J61">
        <v>1000</v>
      </c>
      <c r="K61">
        <v>100</v>
      </c>
      <c r="L61">
        <v>5.88804099243134E-3</v>
      </c>
      <c r="M61" s="1" t="s">
        <v>61</v>
      </c>
      <c r="N61" s="1" t="s">
        <v>62</v>
      </c>
      <c r="O61">
        <v>2</v>
      </c>
      <c r="P61">
        <v>2</v>
      </c>
    </row>
    <row r="62" spans="1:16" x14ac:dyDescent="0.2">
      <c r="A62" t="s">
        <v>40</v>
      </c>
      <c r="B62">
        <v>14</v>
      </c>
      <c r="C62">
        <v>20</v>
      </c>
      <c r="D62">
        <v>2</v>
      </c>
      <c r="E62">
        <v>1</v>
      </c>
      <c r="F62" t="b">
        <v>1</v>
      </c>
      <c r="G62" t="s">
        <v>4</v>
      </c>
      <c r="H62" t="s">
        <v>3</v>
      </c>
      <c r="I62">
        <v>0.1</v>
      </c>
      <c r="J62">
        <v>1000</v>
      </c>
      <c r="K62">
        <v>100</v>
      </c>
      <c r="L62" s="1" t="s">
        <v>63</v>
      </c>
      <c r="M62" s="1" t="s">
        <v>64</v>
      </c>
      <c r="N62">
        <v>3.3988166949711698E-2</v>
      </c>
      <c r="O62">
        <v>4</v>
      </c>
      <c r="P62">
        <v>2</v>
      </c>
    </row>
    <row r="63" spans="1:16" x14ac:dyDescent="0.2">
      <c r="A63" t="s">
        <v>40</v>
      </c>
      <c r="B63">
        <v>14</v>
      </c>
      <c r="C63">
        <v>20</v>
      </c>
      <c r="D63">
        <v>2</v>
      </c>
      <c r="E63">
        <v>2</v>
      </c>
      <c r="F63" t="b">
        <v>1</v>
      </c>
      <c r="G63" t="s">
        <v>2</v>
      </c>
      <c r="H63" t="s">
        <v>3</v>
      </c>
      <c r="I63">
        <v>0</v>
      </c>
      <c r="J63">
        <v>1000</v>
      </c>
      <c r="K63">
        <v>100</v>
      </c>
      <c r="L63">
        <v>8.91329097794368E-3</v>
      </c>
      <c r="M63" s="1" t="s">
        <v>188</v>
      </c>
      <c r="N63" s="1" t="s">
        <v>189</v>
      </c>
      <c r="O63">
        <v>1</v>
      </c>
      <c r="P63">
        <v>1</v>
      </c>
    </row>
    <row r="64" spans="1:16" x14ac:dyDescent="0.2">
      <c r="A64" t="s">
        <v>40</v>
      </c>
      <c r="B64">
        <v>14</v>
      </c>
      <c r="C64">
        <v>20</v>
      </c>
      <c r="D64">
        <v>2</v>
      </c>
      <c r="E64">
        <v>2</v>
      </c>
      <c r="F64" t="b">
        <v>1</v>
      </c>
      <c r="G64" t="s">
        <v>4</v>
      </c>
      <c r="H64" t="s">
        <v>3</v>
      </c>
      <c r="I64">
        <v>0</v>
      </c>
      <c r="J64">
        <v>1000</v>
      </c>
      <c r="K64">
        <v>100</v>
      </c>
      <c r="L64" s="1" t="s">
        <v>190</v>
      </c>
      <c r="M64" s="1" t="s">
        <v>191</v>
      </c>
      <c r="N64">
        <v>3.4423625038470997E-2</v>
      </c>
      <c r="O64">
        <v>2</v>
      </c>
      <c r="P64">
        <v>1</v>
      </c>
    </row>
    <row r="65" spans="1:16" x14ac:dyDescent="0.2">
      <c r="A65" t="s">
        <v>40</v>
      </c>
      <c r="B65">
        <v>14</v>
      </c>
      <c r="C65">
        <v>20</v>
      </c>
      <c r="D65">
        <v>2</v>
      </c>
      <c r="E65">
        <v>2</v>
      </c>
      <c r="F65" t="b">
        <v>1</v>
      </c>
      <c r="G65" t="s">
        <v>2</v>
      </c>
      <c r="H65" t="s">
        <v>3</v>
      </c>
      <c r="I65">
        <v>0.01</v>
      </c>
      <c r="J65">
        <v>1000</v>
      </c>
      <c r="K65">
        <v>100</v>
      </c>
      <c r="L65">
        <v>9.2620420036837407E-3</v>
      </c>
      <c r="M65" s="1" t="s">
        <v>192</v>
      </c>
      <c r="N65" s="1" t="s">
        <v>193</v>
      </c>
      <c r="O65">
        <v>2</v>
      </c>
      <c r="P65">
        <v>2</v>
      </c>
    </row>
    <row r="66" spans="1:16" x14ac:dyDescent="0.2">
      <c r="A66" t="s">
        <v>40</v>
      </c>
      <c r="B66">
        <v>14</v>
      </c>
      <c r="C66">
        <v>20</v>
      </c>
      <c r="D66">
        <v>2</v>
      </c>
      <c r="E66">
        <v>2</v>
      </c>
      <c r="F66" t="b">
        <v>1</v>
      </c>
      <c r="G66" t="s">
        <v>4</v>
      </c>
      <c r="H66" t="s">
        <v>3</v>
      </c>
      <c r="I66">
        <v>0.01</v>
      </c>
      <c r="J66">
        <v>1000</v>
      </c>
      <c r="K66">
        <v>100</v>
      </c>
      <c r="L66" s="1" t="s">
        <v>194</v>
      </c>
      <c r="M66" s="1" t="s">
        <v>195</v>
      </c>
      <c r="N66">
        <v>4.0525791060645099E-2</v>
      </c>
      <c r="O66">
        <v>4</v>
      </c>
      <c r="P66">
        <v>2</v>
      </c>
    </row>
    <row r="67" spans="1:16" x14ac:dyDescent="0.2">
      <c r="A67" t="s">
        <v>40</v>
      </c>
      <c r="B67">
        <v>14</v>
      </c>
      <c r="C67">
        <v>20</v>
      </c>
      <c r="D67">
        <v>2</v>
      </c>
      <c r="E67">
        <v>2</v>
      </c>
      <c r="F67" t="b">
        <v>1</v>
      </c>
      <c r="G67" t="s">
        <v>2</v>
      </c>
      <c r="H67" t="s">
        <v>3</v>
      </c>
      <c r="I67">
        <v>0.05</v>
      </c>
      <c r="J67">
        <v>1000</v>
      </c>
      <c r="K67">
        <v>100</v>
      </c>
      <c r="L67">
        <v>8.6010410450398905E-3</v>
      </c>
      <c r="M67" s="1" t="s">
        <v>196</v>
      </c>
      <c r="N67" s="1" t="s">
        <v>197</v>
      </c>
      <c r="O67">
        <v>2</v>
      </c>
      <c r="P67">
        <v>2</v>
      </c>
    </row>
    <row r="68" spans="1:16" x14ac:dyDescent="0.2">
      <c r="A68" t="s">
        <v>40</v>
      </c>
      <c r="B68">
        <v>14</v>
      </c>
      <c r="C68">
        <v>20</v>
      </c>
      <c r="D68">
        <v>2</v>
      </c>
      <c r="E68">
        <v>2</v>
      </c>
      <c r="F68" t="b">
        <v>1</v>
      </c>
      <c r="G68" t="s">
        <v>4</v>
      </c>
      <c r="H68" t="s">
        <v>3</v>
      </c>
      <c r="I68">
        <v>0.05</v>
      </c>
      <c r="J68">
        <v>1000</v>
      </c>
      <c r="K68">
        <v>100</v>
      </c>
      <c r="L68">
        <v>2.0276249968446701E-2</v>
      </c>
      <c r="M68">
        <v>1.9243209040723699E-2</v>
      </c>
      <c r="N68">
        <v>3.9519459009170498E-2</v>
      </c>
      <c r="O68">
        <v>4</v>
      </c>
      <c r="P68">
        <v>2</v>
      </c>
    </row>
    <row r="69" spans="1:16" x14ac:dyDescent="0.2">
      <c r="A69" t="s">
        <v>40</v>
      </c>
      <c r="B69">
        <v>14</v>
      </c>
      <c r="C69">
        <v>20</v>
      </c>
      <c r="D69">
        <v>2</v>
      </c>
      <c r="E69">
        <v>2</v>
      </c>
      <c r="F69" t="b">
        <v>1</v>
      </c>
      <c r="G69" t="s">
        <v>2</v>
      </c>
      <c r="H69" t="s">
        <v>3</v>
      </c>
      <c r="I69">
        <v>0.1</v>
      </c>
      <c r="J69">
        <v>1000</v>
      </c>
      <c r="K69">
        <v>100</v>
      </c>
      <c r="L69">
        <v>8.7145830038934894E-3</v>
      </c>
      <c r="M69" s="1" t="s">
        <v>198</v>
      </c>
      <c r="N69" s="1" t="s">
        <v>199</v>
      </c>
      <c r="O69">
        <v>2</v>
      </c>
      <c r="P69">
        <v>2</v>
      </c>
    </row>
    <row r="70" spans="1:16" x14ac:dyDescent="0.2">
      <c r="A70" t="s">
        <v>40</v>
      </c>
      <c r="B70">
        <v>14</v>
      </c>
      <c r="C70">
        <v>20</v>
      </c>
      <c r="D70">
        <v>2</v>
      </c>
      <c r="E70">
        <v>2</v>
      </c>
      <c r="F70" t="b">
        <v>1</v>
      </c>
      <c r="G70" t="s">
        <v>4</v>
      </c>
      <c r="H70" t="s">
        <v>3</v>
      </c>
      <c r="I70">
        <v>0.1</v>
      </c>
      <c r="J70">
        <v>1000</v>
      </c>
      <c r="K70">
        <v>100</v>
      </c>
      <c r="L70">
        <v>2.02204170054756E-2</v>
      </c>
      <c r="M70" s="1" t="s">
        <v>200</v>
      </c>
      <c r="N70" s="1" t="s">
        <v>201</v>
      </c>
      <c r="O70">
        <v>4</v>
      </c>
      <c r="P70">
        <v>2</v>
      </c>
    </row>
    <row r="73" spans="1:16" x14ac:dyDescent="0.2">
      <c r="A73" t="s">
        <v>65</v>
      </c>
      <c r="B73">
        <v>24</v>
      </c>
      <c r="C73">
        <v>38</v>
      </c>
      <c r="D73">
        <v>10</v>
      </c>
      <c r="E73">
        <v>0</v>
      </c>
      <c r="F73" t="b">
        <v>1</v>
      </c>
      <c r="G73" t="s">
        <v>2</v>
      </c>
      <c r="H73" t="s">
        <v>3</v>
      </c>
      <c r="I73">
        <v>0</v>
      </c>
      <c r="J73">
        <v>1000</v>
      </c>
      <c r="K73">
        <v>100</v>
      </c>
      <c r="L73">
        <v>5.2669579745270303E-3</v>
      </c>
      <c r="M73">
        <v>2.32140000443905E-2</v>
      </c>
      <c r="N73">
        <v>2.84809580189175E-2</v>
      </c>
      <c r="O73">
        <v>1</v>
      </c>
      <c r="P73">
        <v>1</v>
      </c>
    </row>
    <row r="74" spans="1:16" x14ac:dyDescent="0.2">
      <c r="A74" t="s">
        <v>65</v>
      </c>
      <c r="B74">
        <v>24</v>
      </c>
      <c r="C74">
        <v>38</v>
      </c>
      <c r="D74">
        <v>10</v>
      </c>
      <c r="E74">
        <v>0</v>
      </c>
      <c r="F74" t="b">
        <v>1</v>
      </c>
      <c r="G74" t="s">
        <v>4</v>
      </c>
      <c r="H74" t="s">
        <v>3</v>
      </c>
      <c r="I74">
        <v>0</v>
      </c>
      <c r="J74">
        <v>1000</v>
      </c>
      <c r="K74">
        <v>100</v>
      </c>
      <c r="L74" s="1" t="s">
        <v>66</v>
      </c>
      <c r="M74" s="1" t="s">
        <v>67</v>
      </c>
      <c r="N74" s="1" t="s">
        <v>68</v>
      </c>
      <c r="O74">
        <v>256</v>
      </c>
      <c r="P74">
        <v>1</v>
      </c>
    </row>
    <row r="75" spans="1:16" x14ac:dyDescent="0.2">
      <c r="A75" t="s">
        <v>65</v>
      </c>
      <c r="B75">
        <v>24</v>
      </c>
      <c r="C75">
        <v>38</v>
      </c>
      <c r="D75">
        <v>10</v>
      </c>
      <c r="E75">
        <v>0</v>
      </c>
      <c r="F75" t="b">
        <v>1</v>
      </c>
      <c r="G75" t="s">
        <v>2</v>
      </c>
      <c r="H75" t="s">
        <v>3</v>
      </c>
      <c r="I75">
        <v>0.01</v>
      </c>
      <c r="J75">
        <v>1000</v>
      </c>
      <c r="K75">
        <v>100</v>
      </c>
      <c r="L75">
        <v>5.4867500439286197E-3</v>
      </c>
      <c r="M75" s="1" t="s">
        <v>69</v>
      </c>
      <c r="N75" s="1" t="s">
        <v>70</v>
      </c>
      <c r="O75">
        <v>4</v>
      </c>
      <c r="P75">
        <v>4</v>
      </c>
    </row>
    <row r="76" spans="1:16" x14ac:dyDescent="0.2">
      <c r="A76" t="s">
        <v>65</v>
      </c>
      <c r="B76">
        <v>24</v>
      </c>
      <c r="C76">
        <v>38</v>
      </c>
      <c r="D76">
        <v>10</v>
      </c>
      <c r="E76">
        <v>0</v>
      </c>
      <c r="F76" t="b">
        <v>1</v>
      </c>
      <c r="G76" t="s">
        <v>4</v>
      </c>
      <c r="H76" t="s">
        <v>3</v>
      </c>
      <c r="I76">
        <v>0.01</v>
      </c>
      <c r="J76">
        <v>1000</v>
      </c>
      <c r="K76">
        <v>100</v>
      </c>
      <c r="L76" s="1" t="s">
        <v>71</v>
      </c>
      <c r="M76" s="1" t="s">
        <v>72</v>
      </c>
      <c r="N76" s="1" t="s">
        <v>73</v>
      </c>
      <c r="O76">
        <v>1000</v>
      </c>
      <c r="P76">
        <v>4</v>
      </c>
    </row>
    <row r="77" spans="1:16" x14ac:dyDescent="0.2">
      <c r="A77" t="s">
        <v>65</v>
      </c>
      <c r="B77">
        <v>24</v>
      </c>
      <c r="C77">
        <v>38</v>
      </c>
      <c r="D77">
        <v>10</v>
      </c>
      <c r="E77">
        <v>0</v>
      </c>
      <c r="F77" t="b">
        <v>1</v>
      </c>
      <c r="G77" t="s">
        <v>2</v>
      </c>
      <c r="H77" t="s">
        <v>3</v>
      </c>
      <c r="I77">
        <v>0.05</v>
      </c>
      <c r="J77">
        <v>1000</v>
      </c>
      <c r="K77">
        <v>100</v>
      </c>
      <c r="L77">
        <v>5.5763749987818301E-3</v>
      </c>
      <c r="M77" s="1" t="s">
        <v>74</v>
      </c>
      <c r="N77" s="1" t="s">
        <v>75</v>
      </c>
      <c r="O77">
        <v>4</v>
      </c>
      <c r="P77">
        <v>4</v>
      </c>
    </row>
    <row r="78" spans="1:16" x14ac:dyDescent="0.2">
      <c r="A78" t="s">
        <v>65</v>
      </c>
      <c r="B78">
        <v>24</v>
      </c>
      <c r="C78">
        <v>38</v>
      </c>
      <c r="D78">
        <v>10</v>
      </c>
      <c r="E78">
        <v>0</v>
      </c>
      <c r="F78" t="b">
        <v>1</v>
      </c>
      <c r="G78" t="s">
        <v>4</v>
      </c>
      <c r="H78" t="s">
        <v>3</v>
      </c>
      <c r="I78">
        <v>0.05</v>
      </c>
      <c r="J78">
        <v>1000</v>
      </c>
      <c r="K78">
        <v>100</v>
      </c>
      <c r="L78" t="s">
        <v>76</v>
      </c>
      <c r="M78" t="s">
        <v>76</v>
      </c>
      <c r="N78" t="s">
        <v>76</v>
      </c>
      <c r="O78">
        <v>1000</v>
      </c>
      <c r="P78">
        <v>1000</v>
      </c>
    </row>
    <row r="79" spans="1:16" x14ac:dyDescent="0.2">
      <c r="A79" t="s">
        <v>65</v>
      </c>
      <c r="B79">
        <v>24</v>
      </c>
      <c r="C79">
        <v>38</v>
      </c>
      <c r="D79">
        <v>10</v>
      </c>
      <c r="E79">
        <v>1</v>
      </c>
      <c r="F79" t="b">
        <v>1</v>
      </c>
      <c r="G79" t="s">
        <v>2</v>
      </c>
      <c r="H79" t="s">
        <v>3</v>
      </c>
      <c r="I79">
        <v>0</v>
      </c>
      <c r="J79">
        <v>1000</v>
      </c>
      <c r="K79">
        <v>100</v>
      </c>
      <c r="L79">
        <v>1.0138499957975E-2</v>
      </c>
      <c r="M79" s="1" t="s">
        <v>77</v>
      </c>
      <c r="N79" s="1" t="s">
        <v>78</v>
      </c>
      <c r="O79">
        <v>1</v>
      </c>
      <c r="P79">
        <v>1</v>
      </c>
    </row>
    <row r="80" spans="1:16" x14ac:dyDescent="0.2">
      <c r="A80" t="s">
        <v>65</v>
      </c>
      <c r="B80">
        <v>24</v>
      </c>
      <c r="C80">
        <v>38</v>
      </c>
      <c r="D80">
        <v>10</v>
      </c>
      <c r="E80">
        <v>1</v>
      </c>
      <c r="F80" t="b">
        <v>1</v>
      </c>
      <c r="G80" t="s">
        <v>4</v>
      </c>
      <c r="H80" t="s">
        <v>3</v>
      </c>
      <c r="I80">
        <v>0</v>
      </c>
      <c r="J80">
        <v>1000</v>
      </c>
      <c r="K80">
        <v>100</v>
      </c>
      <c r="L80">
        <v>2.6155708008445799E-2</v>
      </c>
      <c r="M80" s="1" t="s">
        <v>79</v>
      </c>
      <c r="N80" s="1" t="s">
        <v>80</v>
      </c>
      <c r="O80">
        <v>256</v>
      </c>
      <c r="P80">
        <v>1</v>
      </c>
    </row>
    <row r="81" spans="1:16" x14ac:dyDescent="0.2">
      <c r="A81" t="s">
        <v>65</v>
      </c>
      <c r="B81">
        <v>24</v>
      </c>
      <c r="C81">
        <v>38</v>
      </c>
      <c r="D81">
        <v>10</v>
      </c>
      <c r="E81">
        <v>1</v>
      </c>
      <c r="F81" t="b">
        <v>1</v>
      </c>
      <c r="G81" t="s">
        <v>2</v>
      </c>
      <c r="H81" t="s">
        <v>3</v>
      </c>
      <c r="I81">
        <v>0.01</v>
      </c>
      <c r="J81">
        <v>1000</v>
      </c>
      <c r="K81">
        <v>100</v>
      </c>
      <c r="L81" s="1" t="s">
        <v>81</v>
      </c>
      <c r="M81" s="1" t="s">
        <v>82</v>
      </c>
      <c r="N81" s="1" t="s">
        <v>83</v>
      </c>
      <c r="O81">
        <v>4</v>
      </c>
      <c r="P81">
        <v>4</v>
      </c>
    </row>
    <row r="82" spans="1:16" x14ac:dyDescent="0.2">
      <c r="A82" t="s">
        <v>65</v>
      </c>
      <c r="B82">
        <v>24</v>
      </c>
      <c r="C82">
        <v>38</v>
      </c>
      <c r="D82">
        <v>10</v>
      </c>
      <c r="E82">
        <v>1</v>
      </c>
      <c r="F82" t="b">
        <v>1</v>
      </c>
      <c r="G82" t="s">
        <v>4</v>
      </c>
      <c r="H82" t="s">
        <v>3</v>
      </c>
      <c r="I82">
        <v>0.01</v>
      </c>
      <c r="J82">
        <v>1000</v>
      </c>
      <c r="K82">
        <v>100</v>
      </c>
      <c r="L82">
        <v>2.2622374992351899E-2</v>
      </c>
      <c r="M82" s="1" t="s">
        <v>84</v>
      </c>
      <c r="N82" s="1" t="s">
        <v>85</v>
      </c>
      <c r="O82">
        <v>1000</v>
      </c>
      <c r="P82">
        <v>4</v>
      </c>
    </row>
    <row r="83" spans="1:16" x14ac:dyDescent="0.2">
      <c r="A83" t="s">
        <v>65</v>
      </c>
      <c r="B83">
        <v>24</v>
      </c>
      <c r="C83">
        <v>38</v>
      </c>
      <c r="D83">
        <v>10</v>
      </c>
      <c r="E83">
        <v>1</v>
      </c>
      <c r="F83" t="b">
        <v>1</v>
      </c>
      <c r="G83" t="s">
        <v>2</v>
      </c>
      <c r="H83" t="s">
        <v>3</v>
      </c>
      <c r="I83">
        <v>0.05</v>
      </c>
      <c r="J83">
        <v>1000</v>
      </c>
      <c r="K83">
        <v>100</v>
      </c>
      <c r="L83">
        <v>1.00420839735306E-2</v>
      </c>
      <c r="M83" s="1" t="s">
        <v>86</v>
      </c>
      <c r="N83" s="1" t="s">
        <v>87</v>
      </c>
      <c r="O83">
        <v>4</v>
      </c>
      <c r="P83">
        <v>4</v>
      </c>
    </row>
    <row r="84" spans="1:16" x14ac:dyDescent="0.2">
      <c r="A84" t="s">
        <v>65</v>
      </c>
      <c r="B84">
        <v>24</v>
      </c>
      <c r="C84">
        <v>38</v>
      </c>
      <c r="D84">
        <v>10</v>
      </c>
      <c r="E84">
        <v>1</v>
      </c>
      <c r="F84" t="b">
        <v>1</v>
      </c>
      <c r="G84" t="s">
        <v>4</v>
      </c>
      <c r="H84" t="s">
        <v>3</v>
      </c>
      <c r="I84">
        <v>0.05</v>
      </c>
      <c r="J84">
        <v>1000</v>
      </c>
      <c r="K84">
        <v>100</v>
      </c>
      <c r="L84" t="s">
        <v>76</v>
      </c>
      <c r="M84" t="s">
        <v>76</v>
      </c>
      <c r="N84" t="s">
        <v>76</v>
      </c>
      <c r="O84">
        <v>1000</v>
      </c>
      <c r="P84">
        <v>1000</v>
      </c>
    </row>
    <row r="85" spans="1:16" x14ac:dyDescent="0.2">
      <c r="A85" t="s">
        <v>65</v>
      </c>
      <c r="B85">
        <v>24</v>
      </c>
      <c r="C85">
        <v>38</v>
      </c>
      <c r="D85">
        <v>10</v>
      </c>
      <c r="E85">
        <v>1</v>
      </c>
      <c r="F85" t="b">
        <v>1</v>
      </c>
      <c r="G85" t="s">
        <v>2</v>
      </c>
      <c r="H85" t="s">
        <v>3</v>
      </c>
      <c r="I85">
        <v>0.1</v>
      </c>
      <c r="J85">
        <v>1000</v>
      </c>
      <c r="K85">
        <v>100</v>
      </c>
      <c r="L85" s="1" t="s">
        <v>88</v>
      </c>
      <c r="M85">
        <v>2.0237667020410299E-2</v>
      </c>
      <c r="N85" s="1" t="s">
        <v>89</v>
      </c>
      <c r="O85">
        <v>7</v>
      </c>
      <c r="P85">
        <v>7</v>
      </c>
    </row>
    <row r="86" spans="1:16" x14ac:dyDescent="0.2">
      <c r="A86" t="s">
        <v>65</v>
      </c>
      <c r="B86">
        <v>24</v>
      </c>
      <c r="C86">
        <v>38</v>
      </c>
      <c r="D86">
        <v>10</v>
      </c>
      <c r="E86">
        <v>1</v>
      </c>
      <c r="F86" t="b">
        <v>1</v>
      </c>
      <c r="G86" t="s">
        <v>4</v>
      </c>
      <c r="H86" t="s">
        <v>3</v>
      </c>
      <c r="I86">
        <v>0.1</v>
      </c>
      <c r="J86">
        <v>1000</v>
      </c>
      <c r="K86">
        <v>100</v>
      </c>
      <c r="L86" t="s">
        <v>76</v>
      </c>
      <c r="M86" t="s">
        <v>76</v>
      </c>
      <c r="N86" t="s">
        <v>76</v>
      </c>
      <c r="O86">
        <v>1000</v>
      </c>
      <c r="P86">
        <v>1000</v>
      </c>
    </row>
    <row r="87" spans="1:16" x14ac:dyDescent="0.2">
      <c r="A87" t="s">
        <v>65</v>
      </c>
      <c r="B87">
        <v>24</v>
      </c>
      <c r="C87">
        <v>38</v>
      </c>
      <c r="D87">
        <v>10</v>
      </c>
      <c r="E87">
        <v>2</v>
      </c>
      <c r="F87" t="b">
        <v>1</v>
      </c>
      <c r="G87" t="s">
        <v>2</v>
      </c>
      <c r="H87" t="s">
        <v>3</v>
      </c>
      <c r="I87">
        <v>0</v>
      </c>
      <c r="J87">
        <v>1000</v>
      </c>
      <c r="K87">
        <v>100</v>
      </c>
      <c r="L87" s="1" t="s">
        <v>90</v>
      </c>
      <c r="M87" s="1" t="s">
        <v>91</v>
      </c>
      <c r="N87">
        <v>3.2798041997011702E-2</v>
      </c>
      <c r="O87">
        <v>1</v>
      </c>
      <c r="P87">
        <v>1</v>
      </c>
    </row>
    <row r="88" spans="1:16" x14ac:dyDescent="0.2">
      <c r="A88" t="s">
        <v>65</v>
      </c>
      <c r="B88">
        <v>24</v>
      </c>
      <c r="C88">
        <v>38</v>
      </c>
      <c r="D88">
        <v>10</v>
      </c>
      <c r="E88">
        <v>2</v>
      </c>
      <c r="F88" t="b">
        <v>1</v>
      </c>
      <c r="G88" t="s">
        <v>4</v>
      </c>
      <c r="H88" t="s">
        <v>3</v>
      </c>
      <c r="I88">
        <v>0</v>
      </c>
      <c r="J88">
        <v>1000</v>
      </c>
      <c r="K88">
        <v>100</v>
      </c>
      <c r="L88" s="1" t="s">
        <v>92</v>
      </c>
      <c r="M88" s="1" t="s">
        <v>93</v>
      </c>
      <c r="N88" s="1" t="s">
        <v>94</v>
      </c>
      <c r="O88">
        <v>256</v>
      </c>
      <c r="P88">
        <v>1</v>
      </c>
    </row>
    <row r="89" spans="1:16" x14ac:dyDescent="0.2">
      <c r="A89" t="s">
        <v>65</v>
      </c>
      <c r="B89">
        <v>24</v>
      </c>
      <c r="C89">
        <v>38</v>
      </c>
      <c r="D89">
        <v>10</v>
      </c>
      <c r="E89">
        <v>2</v>
      </c>
      <c r="F89" t="b">
        <v>1</v>
      </c>
      <c r="G89" t="s">
        <v>2</v>
      </c>
      <c r="H89" t="s">
        <v>3</v>
      </c>
      <c r="I89">
        <v>0.01</v>
      </c>
      <c r="J89">
        <v>1000</v>
      </c>
      <c r="K89">
        <v>100</v>
      </c>
      <c r="L89" s="1" t="s">
        <v>95</v>
      </c>
      <c r="M89">
        <v>2.3155208036769102E-2</v>
      </c>
      <c r="N89" s="1" t="s">
        <v>96</v>
      </c>
      <c r="O89">
        <v>4</v>
      </c>
      <c r="P89">
        <v>4</v>
      </c>
    </row>
    <row r="90" spans="1:16" x14ac:dyDescent="0.2">
      <c r="A90" t="s">
        <v>65</v>
      </c>
      <c r="B90">
        <v>24</v>
      </c>
      <c r="C90">
        <v>38</v>
      </c>
      <c r="D90">
        <v>10</v>
      </c>
      <c r="E90">
        <v>2</v>
      </c>
      <c r="F90" t="b">
        <v>1</v>
      </c>
      <c r="G90" t="s">
        <v>4</v>
      </c>
      <c r="H90" t="s">
        <v>3</v>
      </c>
      <c r="I90">
        <v>0.01</v>
      </c>
      <c r="J90">
        <v>1000</v>
      </c>
      <c r="K90">
        <v>100</v>
      </c>
      <c r="L90" s="1" t="s">
        <v>97</v>
      </c>
      <c r="M90" s="1" t="s">
        <v>98</v>
      </c>
      <c r="N90" s="1" t="s">
        <v>99</v>
      </c>
      <c r="O90">
        <v>1000</v>
      </c>
      <c r="P90">
        <v>4</v>
      </c>
    </row>
    <row r="91" spans="1:16" x14ac:dyDescent="0.2">
      <c r="A91" t="s">
        <v>65</v>
      </c>
      <c r="B91">
        <v>24</v>
      </c>
      <c r="C91">
        <v>38</v>
      </c>
      <c r="D91">
        <v>10</v>
      </c>
      <c r="E91">
        <v>2</v>
      </c>
      <c r="F91" t="b">
        <v>1</v>
      </c>
      <c r="G91" t="s">
        <v>2</v>
      </c>
      <c r="H91" t="s">
        <v>3</v>
      </c>
      <c r="I91">
        <v>0.05</v>
      </c>
      <c r="J91">
        <v>1000</v>
      </c>
      <c r="K91">
        <v>100</v>
      </c>
      <c r="L91">
        <v>3.65502919885329E-2</v>
      </c>
      <c r="M91">
        <v>2.2601999982725801E-2</v>
      </c>
      <c r="N91">
        <v>5.9152291971258798E-2</v>
      </c>
      <c r="O91">
        <v>4</v>
      </c>
      <c r="P91">
        <v>4</v>
      </c>
    </row>
    <row r="92" spans="1:16" x14ac:dyDescent="0.2">
      <c r="A92" t="s">
        <v>65</v>
      </c>
      <c r="B92">
        <v>24</v>
      </c>
      <c r="C92">
        <v>38</v>
      </c>
      <c r="D92">
        <v>10</v>
      </c>
      <c r="E92">
        <v>2</v>
      </c>
      <c r="F92" t="b">
        <v>1</v>
      </c>
      <c r="G92" t="s">
        <v>4</v>
      </c>
      <c r="H92" t="s">
        <v>3</v>
      </c>
      <c r="I92">
        <v>0.05</v>
      </c>
      <c r="J92">
        <v>1000</v>
      </c>
      <c r="K92">
        <v>100</v>
      </c>
      <c r="L92" t="s">
        <v>76</v>
      </c>
      <c r="M92" t="s">
        <v>76</v>
      </c>
      <c r="N92" t="s">
        <v>76</v>
      </c>
      <c r="O92">
        <v>1000</v>
      </c>
      <c r="P92">
        <v>1000</v>
      </c>
    </row>
    <row r="93" spans="1:16" x14ac:dyDescent="0.2">
      <c r="A93" t="s">
        <v>65</v>
      </c>
      <c r="B93">
        <v>24</v>
      </c>
      <c r="C93">
        <v>38</v>
      </c>
      <c r="D93">
        <v>10</v>
      </c>
      <c r="E93">
        <v>2</v>
      </c>
      <c r="F93" t="b">
        <v>1</v>
      </c>
      <c r="G93" t="s">
        <v>2</v>
      </c>
      <c r="H93" t="s">
        <v>3</v>
      </c>
      <c r="I93">
        <v>0.1</v>
      </c>
      <c r="J93">
        <v>1000</v>
      </c>
      <c r="K93">
        <v>100</v>
      </c>
      <c r="L93" s="1" t="s">
        <v>100</v>
      </c>
      <c r="M93" s="1" t="s">
        <v>101</v>
      </c>
      <c r="N93" s="1" t="s">
        <v>102</v>
      </c>
      <c r="O93">
        <v>7</v>
      </c>
      <c r="P93">
        <v>7</v>
      </c>
    </row>
    <row r="94" spans="1:16" x14ac:dyDescent="0.2">
      <c r="A94" t="s">
        <v>65</v>
      </c>
      <c r="B94">
        <v>24</v>
      </c>
      <c r="C94">
        <v>38</v>
      </c>
      <c r="D94">
        <v>10</v>
      </c>
      <c r="E94">
        <v>2</v>
      </c>
      <c r="F94" t="b">
        <v>1</v>
      </c>
      <c r="G94" t="s">
        <v>4</v>
      </c>
      <c r="H94" t="s">
        <v>3</v>
      </c>
      <c r="I94">
        <v>0.1</v>
      </c>
      <c r="J94">
        <v>1000</v>
      </c>
      <c r="K94">
        <v>100</v>
      </c>
      <c r="L94" t="s">
        <v>76</v>
      </c>
      <c r="M94" t="s">
        <v>76</v>
      </c>
      <c r="N94" t="s">
        <v>76</v>
      </c>
      <c r="O94">
        <v>1000</v>
      </c>
      <c r="P94">
        <v>1000</v>
      </c>
    </row>
    <row r="96" spans="1:16" x14ac:dyDescent="0.2">
      <c r="A96" t="s">
        <v>103</v>
      </c>
      <c r="B96">
        <v>30</v>
      </c>
      <c r="C96">
        <v>41</v>
      </c>
      <c r="D96">
        <v>2</v>
      </c>
      <c r="E96">
        <v>0</v>
      </c>
      <c r="F96" t="b">
        <v>1</v>
      </c>
      <c r="G96" t="s">
        <v>2</v>
      </c>
      <c r="H96" t="s">
        <v>3</v>
      </c>
      <c r="I96">
        <v>0</v>
      </c>
      <c r="J96">
        <v>1000</v>
      </c>
      <c r="K96">
        <v>100</v>
      </c>
      <c r="L96">
        <v>5.3117080242372997E-3</v>
      </c>
      <c r="M96">
        <v>4.7650958003941903E-2</v>
      </c>
      <c r="N96">
        <v>5.2962666028179201E-2</v>
      </c>
      <c r="O96">
        <v>1</v>
      </c>
      <c r="P96">
        <v>1</v>
      </c>
    </row>
    <row r="97" spans="1:16" x14ac:dyDescent="0.2">
      <c r="A97" t="s">
        <v>103</v>
      </c>
      <c r="B97">
        <v>30</v>
      </c>
      <c r="C97">
        <v>41</v>
      </c>
      <c r="D97">
        <v>2</v>
      </c>
      <c r="E97">
        <v>0</v>
      </c>
      <c r="F97" t="b">
        <v>1</v>
      </c>
      <c r="G97" t="s">
        <v>4</v>
      </c>
      <c r="H97" t="s">
        <v>3</v>
      </c>
      <c r="I97">
        <v>0</v>
      </c>
      <c r="J97">
        <v>1000</v>
      </c>
      <c r="K97">
        <v>100</v>
      </c>
      <c r="L97" s="1" t="s">
        <v>104</v>
      </c>
      <c r="M97">
        <v>2.1388375025708201E-2</v>
      </c>
      <c r="N97" s="1" t="s">
        <v>105</v>
      </c>
      <c r="O97">
        <v>4</v>
      </c>
      <c r="P97">
        <v>1</v>
      </c>
    </row>
    <row r="98" spans="1:16" x14ac:dyDescent="0.2">
      <c r="A98" t="s">
        <v>103</v>
      </c>
      <c r="B98">
        <v>30</v>
      </c>
      <c r="C98">
        <v>41</v>
      </c>
      <c r="D98">
        <v>2</v>
      </c>
      <c r="E98">
        <v>0</v>
      </c>
      <c r="F98" t="b">
        <v>1</v>
      </c>
      <c r="G98" t="s">
        <v>2</v>
      </c>
      <c r="H98" t="s">
        <v>3</v>
      </c>
      <c r="I98">
        <v>0.01</v>
      </c>
      <c r="J98">
        <v>1000</v>
      </c>
      <c r="K98">
        <v>100</v>
      </c>
      <c r="L98">
        <v>5.31670800410211E-3</v>
      </c>
      <c r="M98" s="1" t="s">
        <v>106</v>
      </c>
      <c r="N98" s="1" t="s">
        <v>107</v>
      </c>
      <c r="O98">
        <v>1</v>
      </c>
      <c r="P98">
        <v>1</v>
      </c>
    </row>
    <row r="99" spans="1:16" x14ac:dyDescent="0.2">
      <c r="A99" t="s">
        <v>103</v>
      </c>
      <c r="B99">
        <v>30</v>
      </c>
      <c r="C99">
        <v>41</v>
      </c>
      <c r="D99">
        <v>2</v>
      </c>
      <c r="E99">
        <v>0</v>
      </c>
      <c r="F99" t="b">
        <v>1</v>
      </c>
      <c r="G99" t="s">
        <v>4</v>
      </c>
      <c r="H99" t="s">
        <v>3</v>
      </c>
      <c r="I99">
        <v>0.01</v>
      </c>
      <c r="J99">
        <v>1000</v>
      </c>
      <c r="K99">
        <v>100</v>
      </c>
      <c r="L99" s="1" t="s">
        <v>108</v>
      </c>
      <c r="M99">
        <v>1.7285458976402799E-2</v>
      </c>
      <c r="N99">
        <v>3.2306583947502E-2</v>
      </c>
      <c r="O99">
        <v>4</v>
      </c>
      <c r="P99">
        <v>1</v>
      </c>
    </row>
    <row r="100" spans="1:16" x14ac:dyDescent="0.2">
      <c r="A100" t="s">
        <v>103</v>
      </c>
      <c r="B100">
        <v>30</v>
      </c>
      <c r="C100">
        <v>41</v>
      </c>
      <c r="D100">
        <v>2</v>
      </c>
      <c r="E100">
        <v>0</v>
      </c>
      <c r="F100" t="b">
        <v>1</v>
      </c>
      <c r="G100" t="s">
        <v>2</v>
      </c>
      <c r="H100" t="s">
        <v>3</v>
      </c>
      <c r="I100">
        <v>0.05</v>
      </c>
      <c r="J100">
        <v>1000</v>
      </c>
      <c r="K100">
        <v>100</v>
      </c>
      <c r="L100">
        <v>4.8483330174349196E-3</v>
      </c>
      <c r="M100">
        <v>1.10205829842016E-2</v>
      </c>
      <c r="N100" s="1" t="s">
        <v>109</v>
      </c>
      <c r="O100">
        <v>1</v>
      </c>
      <c r="P100">
        <v>1</v>
      </c>
    </row>
    <row r="101" spans="1:16" x14ac:dyDescent="0.2">
      <c r="A101" t="s">
        <v>103</v>
      </c>
      <c r="B101">
        <v>30</v>
      </c>
      <c r="C101">
        <v>41</v>
      </c>
      <c r="D101">
        <v>2</v>
      </c>
      <c r="E101">
        <v>0</v>
      </c>
      <c r="F101" t="b">
        <v>1</v>
      </c>
      <c r="G101" t="s">
        <v>4</v>
      </c>
      <c r="H101" t="s">
        <v>3</v>
      </c>
      <c r="I101">
        <v>0.05</v>
      </c>
      <c r="J101">
        <v>1000</v>
      </c>
      <c r="K101">
        <v>100</v>
      </c>
      <c r="L101" s="1" t="s">
        <v>110</v>
      </c>
      <c r="M101" s="1" t="s">
        <v>111</v>
      </c>
      <c r="N101" s="1" t="s">
        <v>112</v>
      </c>
      <c r="O101">
        <v>4</v>
      </c>
      <c r="P101">
        <v>1</v>
      </c>
    </row>
    <row r="102" spans="1:16" x14ac:dyDescent="0.2">
      <c r="A102" t="s">
        <v>103</v>
      </c>
      <c r="B102">
        <v>30</v>
      </c>
      <c r="C102">
        <v>41</v>
      </c>
      <c r="D102">
        <v>2</v>
      </c>
      <c r="E102">
        <v>0</v>
      </c>
      <c r="F102" t="b">
        <v>1</v>
      </c>
      <c r="G102" t="s">
        <v>2</v>
      </c>
      <c r="H102" t="s">
        <v>3</v>
      </c>
      <c r="I102">
        <v>0.1</v>
      </c>
      <c r="J102">
        <v>1000</v>
      </c>
      <c r="K102">
        <v>100</v>
      </c>
      <c r="L102">
        <v>4.9992079730145599E-3</v>
      </c>
      <c r="M102" s="1" t="s">
        <v>113</v>
      </c>
      <c r="N102" s="1" t="s">
        <v>114</v>
      </c>
      <c r="O102">
        <v>1</v>
      </c>
      <c r="P102">
        <v>1</v>
      </c>
    </row>
    <row r="103" spans="1:16" x14ac:dyDescent="0.2">
      <c r="A103" t="s">
        <v>103</v>
      </c>
      <c r="B103">
        <v>30</v>
      </c>
      <c r="C103">
        <v>41</v>
      </c>
      <c r="D103">
        <v>2</v>
      </c>
      <c r="E103">
        <v>0</v>
      </c>
      <c r="F103" t="b">
        <v>1</v>
      </c>
      <c r="G103" t="s">
        <v>4</v>
      </c>
      <c r="H103" t="s">
        <v>3</v>
      </c>
      <c r="I103">
        <v>0.1</v>
      </c>
      <c r="J103">
        <v>1000</v>
      </c>
      <c r="K103">
        <v>100</v>
      </c>
      <c r="L103" s="1" t="s">
        <v>115</v>
      </c>
      <c r="M103" s="1" t="s">
        <v>116</v>
      </c>
      <c r="N103" s="1" t="s">
        <v>117</v>
      </c>
      <c r="O103">
        <v>4</v>
      </c>
      <c r="P103">
        <v>1</v>
      </c>
    </row>
    <row r="104" spans="1:16" x14ac:dyDescent="0.2">
      <c r="A104" t="s">
        <v>103</v>
      </c>
      <c r="B104">
        <v>30</v>
      </c>
      <c r="C104">
        <v>41</v>
      </c>
      <c r="D104">
        <v>2</v>
      </c>
      <c r="E104">
        <v>1</v>
      </c>
      <c r="F104" t="b">
        <v>1</v>
      </c>
      <c r="G104" t="s">
        <v>2</v>
      </c>
      <c r="H104" t="s">
        <v>3</v>
      </c>
      <c r="I104">
        <v>0</v>
      </c>
      <c r="J104">
        <v>1000</v>
      </c>
      <c r="K104">
        <v>100</v>
      </c>
      <c r="L104">
        <v>9.4042079872451705E-3</v>
      </c>
      <c r="M104">
        <v>2.56857500062324E-2</v>
      </c>
      <c r="N104">
        <v>3.50899579934775E-2</v>
      </c>
      <c r="O104">
        <v>1</v>
      </c>
      <c r="P104">
        <v>1</v>
      </c>
    </row>
    <row r="105" spans="1:16" x14ac:dyDescent="0.2">
      <c r="A105" t="s">
        <v>103</v>
      </c>
      <c r="B105">
        <v>30</v>
      </c>
      <c r="C105">
        <v>41</v>
      </c>
      <c r="D105">
        <v>2</v>
      </c>
      <c r="E105">
        <v>1</v>
      </c>
      <c r="F105" t="b">
        <v>1</v>
      </c>
      <c r="G105" t="s">
        <v>4</v>
      </c>
      <c r="H105" t="s">
        <v>3</v>
      </c>
      <c r="I105">
        <v>0</v>
      </c>
      <c r="J105">
        <v>1000</v>
      </c>
      <c r="K105">
        <v>100</v>
      </c>
      <c r="L105">
        <v>2.4431541969533999E-2</v>
      </c>
      <c r="M105" s="1" t="s">
        <v>118</v>
      </c>
      <c r="N105" s="1" t="s">
        <v>119</v>
      </c>
      <c r="O105">
        <v>4</v>
      </c>
      <c r="P105">
        <v>1</v>
      </c>
    </row>
    <row r="106" spans="1:16" x14ac:dyDescent="0.2">
      <c r="A106" t="s">
        <v>103</v>
      </c>
      <c r="B106">
        <v>30</v>
      </c>
      <c r="C106">
        <v>41</v>
      </c>
      <c r="D106">
        <v>2</v>
      </c>
      <c r="E106">
        <v>1</v>
      </c>
      <c r="F106" t="b">
        <v>1</v>
      </c>
      <c r="G106" t="s">
        <v>2</v>
      </c>
      <c r="H106" t="s">
        <v>3</v>
      </c>
      <c r="I106">
        <v>0.01</v>
      </c>
      <c r="J106">
        <v>1000</v>
      </c>
      <c r="K106">
        <v>100</v>
      </c>
      <c r="L106">
        <v>9.1045839944854292E-3</v>
      </c>
      <c r="M106">
        <v>1.60431250114925E-2</v>
      </c>
      <c r="N106">
        <v>2.5147709005977899E-2</v>
      </c>
      <c r="O106">
        <v>1</v>
      </c>
      <c r="P106">
        <v>1</v>
      </c>
    </row>
    <row r="107" spans="1:16" x14ac:dyDescent="0.2">
      <c r="A107" t="s">
        <v>103</v>
      </c>
      <c r="B107">
        <v>30</v>
      </c>
      <c r="C107">
        <v>41</v>
      </c>
      <c r="D107">
        <v>2</v>
      </c>
      <c r="E107">
        <v>1</v>
      </c>
      <c r="F107" t="b">
        <v>1</v>
      </c>
      <c r="G107" t="s">
        <v>4</v>
      </c>
      <c r="H107" t="s">
        <v>3</v>
      </c>
      <c r="I107">
        <v>0.01</v>
      </c>
      <c r="J107">
        <v>1000</v>
      </c>
      <c r="K107">
        <v>100</v>
      </c>
      <c r="L107" s="1" t="s">
        <v>120</v>
      </c>
      <c r="M107" s="1" t="s">
        <v>121</v>
      </c>
      <c r="N107">
        <v>4.60642069811001E-2</v>
      </c>
      <c r="O107">
        <v>4</v>
      </c>
      <c r="P107">
        <v>1</v>
      </c>
    </row>
    <row r="108" spans="1:16" x14ac:dyDescent="0.2">
      <c r="A108" t="s">
        <v>103</v>
      </c>
      <c r="B108">
        <v>30</v>
      </c>
      <c r="C108">
        <v>41</v>
      </c>
      <c r="D108">
        <v>2</v>
      </c>
      <c r="E108">
        <v>1</v>
      </c>
      <c r="F108" t="b">
        <v>1</v>
      </c>
      <c r="G108" t="s">
        <v>2</v>
      </c>
      <c r="H108" t="s">
        <v>3</v>
      </c>
      <c r="I108">
        <v>0.05</v>
      </c>
      <c r="J108">
        <v>1000</v>
      </c>
      <c r="K108">
        <v>100</v>
      </c>
      <c r="L108">
        <v>9.5286670257337391E-3</v>
      </c>
      <c r="M108" s="1" t="s">
        <v>122</v>
      </c>
      <c r="N108" s="1" t="s">
        <v>123</v>
      </c>
      <c r="O108">
        <v>1</v>
      </c>
      <c r="P108">
        <v>1</v>
      </c>
    </row>
    <row r="109" spans="1:16" x14ac:dyDescent="0.2">
      <c r="A109" t="s">
        <v>103</v>
      </c>
      <c r="B109">
        <v>30</v>
      </c>
      <c r="C109">
        <v>41</v>
      </c>
      <c r="D109">
        <v>2</v>
      </c>
      <c r="E109">
        <v>1</v>
      </c>
      <c r="F109" t="b">
        <v>1</v>
      </c>
      <c r="G109" t="s">
        <v>4</v>
      </c>
      <c r="H109" t="s">
        <v>3</v>
      </c>
      <c r="I109">
        <v>0.05</v>
      </c>
      <c r="J109">
        <v>1000</v>
      </c>
      <c r="K109">
        <v>100</v>
      </c>
      <c r="L109" s="1" t="s">
        <v>124</v>
      </c>
      <c r="M109" s="1" t="s">
        <v>125</v>
      </c>
      <c r="N109" s="1" t="s">
        <v>126</v>
      </c>
      <c r="O109">
        <v>4</v>
      </c>
      <c r="P109">
        <v>1</v>
      </c>
    </row>
    <row r="110" spans="1:16" x14ac:dyDescent="0.2">
      <c r="A110" t="s">
        <v>103</v>
      </c>
      <c r="B110">
        <v>30</v>
      </c>
      <c r="C110">
        <v>41</v>
      </c>
      <c r="D110">
        <v>2</v>
      </c>
      <c r="E110">
        <v>1</v>
      </c>
      <c r="F110" t="b">
        <v>1</v>
      </c>
      <c r="G110" t="s">
        <v>2</v>
      </c>
      <c r="H110" t="s">
        <v>3</v>
      </c>
      <c r="I110">
        <v>0.1</v>
      </c>
      <c r="J110">
        <v>1000</v>
      </c>
      <c r="K110">
        <v>100</v>
      </c>
      <c r="L110">
        <v>9.1548750060610404E-3</v>
      </c>
      <c r="M110" s="1" t="s">
        <v>127</v>
      </c>
      <c r="N110" s="1" t="s">
        <v>128</v>
      </c>
      <c r="O110">
        <v>1</v>
      </c>
      <c r="P110">
        <v>1</v>
      </c>
    </row>
    <row r="111" spans="1:16" x14ac:dyDescent="0.2">
      <c r="A111" t="s">
        <v>103</v>
      </c>
      <c r="B111">
        <v>30</v>
      </c>
      <c r="C111">
        <v>41</v>
      </c>
      <c r="D111">
        <v>2</v>
      </c>
      <c r="E111">
        <v>1</v>
      </c>
      <c r="F111" t="b">
        <v>1</v>
      </c>
      <c r="G111" t="s">
        <v>4</v>
      </c>
      <c r="H111" t="s">
        <v>3</v>
      </c>
      <c r="I111">
        <v>0.1</v>
      </c>
      <c r="J111">
        <v>1000</v>
      </c>
      <c r="K111">
        <v>100</v>
      </c>
      <c r="L111">
        <v>2.4756041995715301E-2</v>
      </c>
      <c r="M111" s="1" t="s">
        <v>129</v>
      </c>
      <c r="N111" s="1" t="s">
        <v>130</v>
      </c>
      <c r="O111">
        <v>4</v>
      </c>
      <c r="P111">
        <v>1</v>
      </c>
    </row>
    <row r="112" spans="1:16" x14ac:dyDescent="0.2">
      <c r="A112" t="s">
        <v>103</v>
      </c>
      <c r="B112">
        <v>30</v>
      </c>
      <c r="C112">
        <v>41</v>
      </c>
      <c r="D112">
        <v>2</v>
      </c>
      <c r="E112">
        <v>2</v>
      </c>
      <c r="F112" t="b">
        <v>1</v>
      </c>
      <c r="G112" t="s">
        <v>2</v>
      </c>
      <c r="H112" t="s">
        <v>3</v>
      </c>
      <c r="I112">
        <v>0</v>
      </c>
      <c r="J112">
        <v>1000</v>
      </c>
      <c r="K112">
        <v>100</v>
      </c>
      <c r="L112">
        <v>1.38621669611893E-2</v>
      </c>
      <c r="M112" s="1" t="s">
        <v>131</v>
      </c>
      <c r="N112" s="1" t="s">
        <v>132</v>
      </c>
      <c r="O112">
        <v>1</v>
      </c>
      <c r="P112">
        <v>1</v>
      </c>
    </row>
    <row r="113" spans="1:16" x14ac:dyDescent="0.2">
      <c r="A113" t="s">
        <v>103</v>
      </c>
      <c r="B113">
        <v>30</v>
      </c>
      <c r="C113">
        <v>41</v>
      </c>
      <c r="D113">
        <v>2</v>
      </c>
      <c r="E113">
        <v>2</v>
      </c>
      <c r="F113" t="b">
        <v>1</v>
      </c>
      <c r="G113" t="s">
        <v>4</v>
      </c>
      <c r="H113" t="s">
        <v>3</v>
      </c>
      <c r="I113">
        <v>0</v>
      </c>
      <c r="J113">
        <v>1000</v>
      </c>
      <c r="K113">
        <v>100</v>
      </c>
      <c r="L113" s="1" t="s">
        <v>133</v>
      </c>
      <c r="M113" s="1" t="s">
        <v>134</v>
      </c>
      <c r="N113">
        <v>5.8524082938674803E-2</v>
      </c>
      <c r="O113">
        <v>4</v>
      </c>
      <c r="P113">
        <v>1</v>
      </c>
    </row>
    <row r="114" spans="1:16" x14ac:dyDescent="0.2">
      <c r="A114" t="s">
        <v>103</v>
      </c>
      <c r="B114">
        <v>30</v>
      </c>
      <c r="C114">
        <v>41</v>
      </c>
      <c r="D114">
        <v>2</v>
      </c>
      <c r="E114">
        <v>2</v>
      </c>
      <c r="F114" t="b">
        <v>1</v>
      </c>
      <c r="G114" t="s">
        <v>2</v>
      </c>
      <c r="H114" t="s">
        <v>3</v>
      </c>
      <c r="I114">
        <v>0.01</v>
      </c>
      <c r="J114">
        <v>1000</v>
      </c>
      <c r="K114">
        <v>100</v>
      </c>
      <c r="L114" s="1" t="s">
        <v>135</v>
      </c>
      <c r="M114" s="1" t="s">
        <v>136</v>
      </c>
      <c r="N114">
        <v>3.3686374081298702E-2</v>
      </c>
      <c r="O114">
        <v>1</v>
      </c>
      <c r="P114">
        <v>1</v>
      </c>
    </row>
    <row r="115" spans="1:16" x14ac:dyDescent="0.2">
      <c r="A115" t="s">
        <v>103</v>
      </c>
      <c r="B115">
        <v>30</v>
      </c>
      <c r="C115">
        <v>41</v>
      </c>
      <c r="D115">
        <v>2</v>
      </c>
      <c r="E115">
        <v>2</v>
      </c>
      <c r="F115" t="b">
        <v>1</v>
      </c>
      <c r="G115" t="s">
        <v>4</v>
      </c>
      <c r="H115" t="s">
        <v>3</v>
      </c>
      <c r="I115">
        <v>0.01</v>
      </c>
      <c r="J115">
        <v>1000</v>
      </c>
      <c r="K115">
        <v>100</v>
      </c>
      <c r="L115">
        <v>3.23069579899311E-2</v>
      </c>
      <c r="M115" s="1" t="s">
        <v>137</v>
      </c>
      <c r="N115">
        <v>5.5805123993195503E-2</v>
      </c>
      <c r="O115">
        <v>4</v>
      </c>
      <c r="P115">
        <v>1</v>
      </c>
    </row>
    <row r="116" spans="1:16" x14ac:dyDescent="0.2">
      <c r="A116" t="s">
        <v>103</v>
      </c>
      <c r="B116">
        <v>30</v>
      </c>
      <c r="C116">
        <v>41</v>
      </c>
      <c r="D116">
        <v>2</v>
      </c>
      <c r="E116">
        <v>2</v>
      </c>
      <c r="F116" t="b">
        <v>1</v>
      </c>
      <c r="G116" t="s">
        <v>2</v>
      </c>
      <c r="H116" t="s">
        <v>3</v>
      </c>
      <c r="I116">
        <v>0.05</v>
      </c>
      <c r="J116">
        <v>1000</v>
      </c>
      <c r="K116">
        <v>100</v>
      </c>
      <c r="L116">
        <v>1.40741250361315E-2</v>
      </c>
      <c r="M116" s="1" t="s">
        <v>138</v>
      </c>
      <c r="N116">
        <v>3.4581042069476098E-2</v>
      </c>
      <c r="O116">
        <v>1</v>
      </c>
      <c r="P116">
        <v>1</v>
      </c>
    </row>
    <row r="117" spans="1:16" x14ac:dyDescent="0.2">
      <c r="A117" t="s">
        <v>103</v>
      </c>
      <c r="B117">
        <v>30</v>
      </c>
      <c r="C117">
        <v>41</v>
      </c>
      <c r="D117">
        <v>2</v>
      </c>
      <c r="E117">
        <v>2</v>
      </c>
      <c r="F117" t="b">
        <v>1</v>
      </c>
      <c r="G117" t="s">
        <v>4</v>
      </c>
      <c r="H117" t="s">
        <v>3</v>
      </c>
      <c r="I117">
        <v>0.05</v>
      </c>
      <c r="J117">
        <v>1000</v>
      </c>
      <c r="K117">
        <v>100</v>
      </c>
      <c r="L117">
        <v>3.5036000015679698E-2</v>
      </c>
      <c r="M117" s="1" t="s">
        <v>139</v>
      </c>
      <c r="N117">
        <v>5.9052750002592802E-2</v>
      </c>
      <c r="O117">
        <v>4</v>
      </c>
      <c r="P117">
        <v>1</v>
      </c>
    </row>
    <row r="118" spans="1:16" x14ac:dyDescent="0.2">
      <c r="A118" t="s">
        <v>103</v>
      </c>
      <c r="B118">
        <v>30</v>
      </c>
      <c r="C118">
        <v>41</v>
      </c>
      <c r="D118">
        <v>2</v>
      </c>
      <c r="E118">
        <v>2</v>
      </c>
      <c r="F118" t="b">
        <v>1</v>
      </c>
      <c r="G118" t="s">
        <v>2</v>
      </c>
      <c r="H118" t="s">
        <v>3</v>
      </c>
      <c r="I118">
        <v>0.1</v>
      </c>
      <c r="J118">
        <v>1000</v>
      </c>
      <c r="K118">
        <v>100</v>
      </c>
      <c r="L118" s="1" t="s">
        <v>140</v>
      </c>
      <c r="M118">
        <v>1.9861750013660601E-2</v>
      </c>
      <c r="N118">
        <v>3.4648125001695E-2</v>
      </c>
      <c r="O118">
        <v>1</v>
      </c>
      <c r="P118">
        <v>1</v>
      </c>
    </row>
    <row r="119" spans="1:16" x14ac:dyDescent="0.2">
      <c r="A119" t="s">
        <v>103</v>
      </c>
      <c r="B119">
        <v>30</v>
      </c>
      <c r="C119">
        <v>41</v>
      </c>
      <c r="D119">
        <v>2</v>
      </c>
      <c r="E119">
        <v>2</v>
      </c>
      <c r="F119" t="b">
        <v>1</v>
      </c>
      <c r="G119" t="s">
        <v>4</v>
      </c>
      <c r="H119" t="s">
        <v>3</v>
      </c>
      <c r="I119">
        <v>0.1</v>
      </c>
      <c r="J119">
        <v>1000</v>
      </c>
      <c r="K119">
        <v>100</v>
      </c>
      <c r="L119" s="1" t="s">
        <v>141</v>
      </c>
      <c r="M119">
        <v>2.42085410282015E-2</v>
      </c>
      <c r="N119" s="1" t="s">
        <v>142</v>
      </c>
      <c r="O119">
        <v>4</v>
      </c>
      <c r="P119">
        <v>1</v>
      </c>
    </row>
    <row r="123" spans="1:16" x14ac:dyDescent="0.2">
      <c r="A123" t="s">
        <v>143</v>
      </c>
      <c r="B123">
        <v>39</v>
      </c>
      <c r="C123">
        <v>46</v>
      </c>
      <c r="D123">
        <v>10</v>
      </c>
      <c r="E123">
        <v>0</v>
      </c>
      <c r="F123" t="b">
        <v>1</v>
      </c>
      <c r="G123" t="s">
        <v>2</v>
      </c>
      <c r="H123" t="s">
        <v>3</v>
      </c>
      <c r="I123">
        <v>0</v>
      </c>
      <c r="J123">
        <v>1000</v>
      </c>
      <c r="K123">
        <v>100</v>
      </c>
      <c r="L123">
        <v>7.0227080141194104E-3</v>
      </c>
      <c r="M123">
        <v>2.16234590043313E-2</v>
      </c>
      <c r="N123" s="1" t="s">
        <v>144</v>
      </c>
      <c r="O123">
        <v>1</v>
      </c>
      <c r="P123">
        <v>1</v>
      </c>
    </row>
    <row r="124" spans="1:16" x14ac:dyDescent="0.2">
      <c r="A124" t="s">
        <v>143</v>
      </c>
      <c r="B124">
        <v>39</v>
      </c>
      <c r="C124">
        <v>46</v>
      </c>
      <c r="D124">
        <v>10</v>
      </c>
      <c r="E124">
        <v>0</v>
      </c>
      <c r="F124" t="b">
        <v>1</v>
      </c>
      <c r="G124" t="s">
        <v>4</v>
      </c>
      <c r="H124" t="s">
        <v>3</v>
      </c>
      <c r="I124">
        <v>0</v>
      </c>
      <c r="J124">
        <v>1000</v>
      </c>
      <c r="K124">
        <v>100</v>
      </c>
      <c r="L124" s="1" t="s">
        <v>145</v>
      </c>
      <c r="M124" s="1" t="s">
        <v>146</v>
      </c>
      <c r="N124" s="1" t="s">
        <v>147</v>
      </c>
      <c r="O124">
        <v>512</v>
      </c>
      <c r="P124">
        <v>1</v>
      </c>
    </row>
    <row r="125" spans="1:16" x14ac:dyDescent="0.2">
      <c r="A125" t="s">
        <v>143</v>
      </c>
      <c r="B125">
        <v>39</v>
      </c>
      <c r="C125">
        <v>46</v>
      </c>
      <c r="D125">
        <v>10</v>
      </c>
      <c r="E125">
        <v>0</v>
      </c>
      <c r="F125" t="b">
        <v>1</v>
      </c>
      <c r="G125" t="s">
        <v>2</v>
      </c>
      <c r="H125" t="s">
        <v>3</v>
      </c>
      <c r="I125">
        <v>0.01</v>
      </c>
      <c r="J125">
        <v>1000</v>
      </c>
      <c r="K125">
        <v>100</v>
      </c>
      <c r="L125">
        <v>7.2398750344291303E-3</v>
      </c>
      <c r="M125" s="1" t="s">
        <v>148</v>
      </c>
      <c r="N125" s="1" t="s">
        <v>149</v>
      </c>
      <c r="O125">
        <v>4</v>
      </c>
      <c r="P125">
        <v>4</v>
      </c>
    </row>
    <row r="126" spans="1:16" x14ac:dyDescent="0.2">
      <c r="A126" t="s">
        <v>143</v>
      </c>
      <c r="B126">
        <v>39</v>
      </c>
      <c r="C126">
        <v>46</v>
      </c>
      <c r="D126">
        <v>10</v>
      </c>
      <c r="E126">
        <v>0</v>
      </c>
      <c r="F126" t="b">
        <v>1</v>
      </c>
      <c r="G126" t="s">
        <v>4</v>
      </c>
      <c r="H126" t="s">
        <v>3</v>
      </c>
      <c r="I126">
        <v>0.01</v>
      </c>
      <c r="J126">
        <v>1000</v>
      </c>
      <c r="K126">
        <v>100</v>
      </c>
      <c r="L126">
        <v>1.74921669531613E-2</v>
      </c>
      <c r="M126" s="1" t="s">
        <v>150</v>
      </c>
      <c r="N126" s="1" t="s">
        <v>151</v>
      </c>
      <c r="O126">
        <v>1000</v>
      </c>
      <c r="P126">
        <v>4</v>
      </c>
    </row>
    <row r="127" spans="1:16" x14ac:dyDescent="0.2">
      <c r="A127" t="s">
        <v>143</v>
      </c>
      <c r="B127">
        <v>39</v>
      </c>
      <c r="C127">
        <v>46</v>
      </c>
      <c r="D127">
        <v>10</v>
      </c>
      <c r="E127">
        <v>0</v>
      </c>
      <c r="F127" t="b">
        <v>1</v>
      </c>
      <c r="G127" t="s">
        <v>2</v>
      </c>
      <c r="H127" t="s">
        <v>3</v>
      </c>
      <c r="I127">
        <v>0.05</v>
      </c>
      <c r="J127">
        <v>1000</v>
      </c>
      <c r="K127">
        <v>100</v>
      </c>
      <c r="L127">
        <v>8.2123749889433297E-3</v>
      </c>
      <c r="M127">
        <v>1.6185582964680999E-2</v>
      </c>
      <c r="N127" s="1" t="s">
        <v>152</v>
      </c>
      <c r="O127">
        <v>7</v>
      </c>
      <c r="P127">
        <v>7</v>
      </c>
    </row>
    <row r="128" spans="1:16" x14ac:dyDescent="0.2">
      <c r="A128" t="s">
        <v>143</v>
      </c>
      <c r="B128">
        <v>39</v>
      </c>
      <c r="C128">
        <v>46</v>
      </c>
      <c r="D128">
        <v>10</v>
      </c>
      <c r="E128">
        <v>0</v>
      </c>
      <c r="F128" t="b">
        <v>1</v>
      </c>
      <c r="G128" t="s">
        <v>4</v>
      </c>
      <c r="H128" t="s">
        <v>3</v>
      </c>
      <c r="I128">
        <v>0.05</v>
      </c>
      <c r="J128">
        <v>1000</v>
      </c>
      <c r="K128">
        <v>100</v>
      </c>
      <c r="L128" t="s">
        <v>76</v>
      </c>
      <c r="M128" t="s">
        <v>76</v>
      </c>
      <c r="N128" t="s">
        <v>76</v>
      </c>
      <c r="O128">
        <v>1000</v>
      </c>
      <c r="P128">
        <v>1000</v>
      </c>
    </row>
    <row r="129" spans="1:16" x14ac:dyDescent="0.2">
      <c r="A129" t="s">
        <v>143</v>
      </c>
      <c r="B129">
        <v>39</v>
      </c>
      <c r="C129">
        <v>46</v>
      </c>
      <c r="D129">
        <v>10</v>
      </c>
      <c r="E129">
        <v>0</v>
      </c>
      <c r="F129" t="b">
        <v>1</v>
      </c>
      <c r="G129" t="s">
        <v>2</v>
      </c>
      <c r="H129" t="s">
        <v>3</v>
      </c>
      <c r="I129">
        <v>0.1</v>
      </c>
      <c r="J129">
        <v>1000</v>
      </c>
      <c r="K129">
        <v>100</v>
      </c>
      <c r="L129">
        <v>7.3509159847162603E-3</v>
      </c>
      <c r="M129" s="1" t="s">
        <v>153</v>
      </c>
      <c r="N129" s="1" t="s">
        <v>154</v>
      </c>
      <c r="O129">
        <v>11</v>
      </c>
      <c r="P129">
        <v>11</v>
      </c>
    </row>
    <row r="130" spans="1:16" x14ac:dyDescent="0.2">
      <c r="A130" t="s">
        <v>143</v>
      </c>
      <c r="B130">
        <v>39</v>
      </c>
      <c r="C130">
        <v>46</v>
      </c>
      <c r="D130">
        <v>10</v>
      </c>
      <c r="E130">
        <v>0</v>
      </c>
      <c r="F130" t="b">
        <v>1</v>
      </c>
      <c r="G130" t="s">
        <v>4</v>
      </c>
      <c r="H130" t="s">
        <v>3</v>
      </c>
      <c r="I130">
        <v>0.1</v>
      </c>
      <c r="J130">
        <v>1000</v>
      </c>
      <c r="K130">
        <v>100</v>
      </c>
      <c r="L130" t="s">
        <v>76</v>
      </c>
      <c r="M130" t="s">
        <v>76</v>
      </c>
      <c r="N130" t="s">
        <v>76</v>
      </c>
      <c r="O130">
        <v>1000</v>
      </c>
      <c r="P130">
        <v>1000</v>
      </c>
    </row>
    <row r="131" spans="1:16" x14ac:dyDescent="0.2">
      <c r="A131" t="s">
        <v>143</v>
      </c>
      <c r="B131">
        <v>39</v>
      </c>
      <c r="C131">
        <v>46</v>
      </c>
      <c r="D131">
        <v>10</v>
      </c>
      <c r="E131">
        <v>1</v>
      </c>
      <c r="F131" t="b">
        <v>1</v>
      </c>
      <c r="G131" t="s">
        <v>2</v>
      </c>
      <c r="H131" t="s">
        <v>3</v>
      </c>
      <c r="I131">
        <v>0</v>
      </c>
      <c r="J131">
        <v>1000</v>
      </c>
      <c r="K131">
        <v>100</v>
      </c>
      <c r="L131">
        <v>1.24144579749554E-2</v>
      </c>
      <c r="M131" s="1" t="s">
        <v>155</v>
      </c>
      <c r="N131">
        <v>3.1993832963053102E-2</v>
      </c>
      <c r="O131">
        <v>1</v>
      </c>
      <c r="P131">
        <v>1</v>
      </c>
    </row>
    <row r="132" spans="1:16" x14ac:dyDescent="0.2">
      <c r="A132" t="s">
        <v>143</v>
      </c>
      <c r="B132">
        <v>39</v>
      </c>
      <c r="C132">
        <v>46</v>
      </c>
      <c r="D132">
        <v>10</v>
      </c>
      <c r="E132">
        <v>1</v>
      </c>
      <c r="F132" t="b">
        <v>1</v>
      </c>
      <c r="G132" t="s">
        <v>4</v>
      </c>
      <c r="H132" t="s">
        <v>3</v>
      </c>
      <c r="I132">
        <v>0</v>
      </c>
      <c r="J132">
        <v>1000</v>
      </c>
      <c r="K132">
        <v>100</v>
      </c>
      <c r="L132" s="1" t="s">
        <v>156</v>
      </c>
      <c r="M132" s="1" t="s">
        <v>157</v>
      </c>
      <c r="N132" s="1" t="s">
        <v>158</v>
      </c>
      <c r="O132">
        <v>512</v>
      </c>
      <c r="P132">
        <v>1</v>
      </c>
    </row>
    <row r="133" spans="1:16" x14ac:dyDescent="0.2">
      <c r="A133" t="s">
        <v>143</v>
      </c>
      <c r="B133">
        <v>39</v>
      </c>
      <c r="C133">
        <v>46</v>
      </c>
      <c r="D133">
        <v>10</v>
      </c>
      <c r="E133">
        <v>1</v>
      </c>
      <c r="F133" t="b">
        <v>1</v>
      </c>
      <c r="G133" t="s">
        <v>2</v>
      </c>
      <c r="H133" t="s">
        <v>3</v>
      </c>
      <c r="I133">
        <v>0.01</v>
      </c>
      <c r="J133">
        <v>1000</v>
      </c>
      <c r="K133">
        <v>100</v>
      </c>
      <c r="L133" s="1" t="s">
        <v>159</v>
      </c>
      <c r="M133" s="1" t="s">
        <v>160</v>
      </c>
      <c r="N133">
        <v>3.5647583019453997E-2</v>
      </c>
      <c r="O133">
        <v>4</v>
      </c>
      <c r="P133">
        <v>4</v>
      </c>
    </row>
    <row r="134" spans="1:16" x14ac:dyDescent="0.2">
      <c r="A134" t="s">
        <v>143</v>
      </c>
      <c r="B134">
        <v>39</v>
      </c>
      <c r="C134">
        <v>46</v>
      </c>
      <c r="D134">
        <v>10</v>
      </c>
      <c r="E134">
        <v>1</v>
      </c>
      <c r="F134" t="b">
        <v>1</v>
      </c>
      <c r="G134" t="s">
        <v>4</v>
      </c>
      <c r="H134" t="s">
        <v>3</v>
      </c>
      <c r="I134">
        <v>0.01</v>
      </c>
      <c r="J134">
        <v>1000</v>
      </c>
      <c r="K134">
        <v>100</v>
      </c>
      <c r="L134" s="1" t="s">
        <v>161</v>
      </c>
      <c r="M134" s="1" t="s">
        <v>162</v>
      </c>
      <c r="N134" s="1" t="s">
        <v>163</v>
      </c>
      <c r="O134">
        <v>1000</v>
      </c>
      <c r="P134">
        <v>4</v>
      </c>
    </row>
    <row r="135" spans="1:16" x14ac:dyDescent="0.2">
      <c r="A135" t="s">
        <v>143</v>
      </c>
      <c r="B135">
        <v>39</v>
      </c>
      <c r="C135">
        <v>46</v>
      </c>
      <c r="D135">
        <v>10</v>
      </c>
      <c r="E135">
        <v>1</v>
      </c>
      <c r="F135" t="b">
        <v>1</v>
      </c>
      <c r="G135" t="s">
        <v>2</v>
      </c>
      <c r="H135" t="s">
        <v>3</v>
      </c>
      <c r="I135">
        <v>0.05</v>
      </c>
      <c r="J135">
        <v>1000</v>
      </c>
      <c r="K135">
        <v>100</v>
      </c>
      <c r="L135" s="1" t="s">
        <v>164</v>
      </c>
      <c r="M135" s="1" t="s">
        <v>165</v>
      </c>
      <c r="N135">
        <v>3.9203625055961297E-2</v>
      </c>
      <c r="O135">
        <v>6</v>
      </c>
      <c r="P135">
        <v>6</v>
      </c>
    </row>
    <row r="136" spans="1:16" x14ac:dyDescent="0.2">
      <c r="A136" t="s">
        <v>143</v>
      </c>
      <c r="B136">
        <v>39</v>
      </c>
      <c r="C136">
        <v>46</v>
      </c>
      <c r="D136">
        <v>10</v>
      </c>
      <c r="E136">
        <v>1</v>
      </c>
      <c r="F136" t="b">
        <v>1</v>
      </c>
      <c r="G136" t="s">
        <v>4</v>
      </c>
      <c r="H136" t="s">
        <v>3</v>
      </c>
      <c r="I136">
        <v>0.05</v>
      </c>
      <c r="J136">
        <v>1000</v>
      </c>
      <c r="K136">
        <v>100</v>
      </c>
      <c r="L136" t="s">
        <v>76</v>
      </c>
      <c r="M136" t="s">
        <v>76</v>
      </c>
      <c r="N136" t="s">
        <v>76</v>
      </c>
      <c r="O136">
        <v>1000</v>
      </c>
      <c r="P136">
        <v>1000</v>
      </c>
    </row>
    <row r="137" spans="1:16" x14ac:dyDescent="0.2">
      <c r="A137" t="s">
        <v>143</v>
      </c>
      <c r="B137">
        <v>39</v>
      </c>
      <c r="C137">
        <v>46</v>
      </c>
      <c r="D137">
        <v>10</v>
      </c>
      <c r="E137">
        <v>1</v>
      </c>
      <c r="F137" t="b">
        <v>1</v>
      </c>
      <c r="G137" t="s">
        <v>2</v>
      </c>
      <c r="H137" t="s">
        <v>3</v>
      </c>
      <c r="I137">
        <v>0.1</v>
      </c>
      <c r="J137">
        <v>1000</v>
      </c>
      <c r="K137">
        <v>100</v>
      </c>
      <c r="L137" s="1" t="s">
        <v>166</v>
      </c>
      <c r="M137">
        <v>2.8111958003137202E-2</v>
      </c>
      <c r="N137" s="1" t="s">
        <v>167</v>
      </c>
      <c r="O137">
        <v>9</v>
      </c>
      <c r="P137">
        <v>9</v>
      </c>
    </row>
    <row r="138" spans="1:16" x14ac:dyDescent="0.2">
      <c r="A138" t="s">
        <v>143</v>
      </c>
      <c r="B138">
        <v>39</v>
      </c>
      <c r="C138">
        <v>46</v>
      </c>
      <c r="D138">
        <v>10</v>
      </c>
      <c r="E138">
        <v>1</v>
      </c>
      <c r="F138" t="b">
        <v>1</v>
      </c>
      <c r="G138" t="s">
        <v>4</v>
      </c>
      <c r="H138" t="s">
        <v>3</v>
      </c>
      <c r="I138">
        <v>0.1</v>
      </c>
      <c r="J138">
        <v>1000</v>
      </c>
      <c r="K138">
        <v>100</v>
      </c>
      <c r="L138" t="s">
        <v>76</v>
      </c>
      <c r="M138" t="s">
        <v>76</v>
      </c>
      <c r="N138" t="s">
        <v>76</v>
      </c>
      <c r="O138">
        <v>1000</v>
      </c>
      <c r="P138">
        <v>1000</v>
      </c>
    </row>
    <row r="139" spans="1:16" x14ac:dyDescent="0.2">
      <c r="A139" t="s">
        <v>143</v>
      </c>
      <c r="B139">
        <v>39</v>
      </c>
      <c r="C139">
        <v>46</v>
      </c>
      <c r="D139">
        <v>10</v>
      </c>
      <c r="E139">
        <v>2</v>
      </c>
      <c r="F139" t="b">
        <v>1</v>
      </c>
      <c r="G139" t="s">
        <v>2</v>
      </c>
      <c r="H139" t="s">
        <v>3</v>
      </c>
      <c r="I139">
        <v>0</v>
      </c>
      <c r="J139">
        <v>1000</v>
      </c>
      <c r="K139">
        <v>100</v>
      </c>
      <c r="L139" s="1" t="s">
        <v>168</v>
      </c>
      <c r="M139" s="1" t="s">
        <v>169</v>
      </c>
      <c r="N139" s="1" t="s">
        <v>170</v>
      </c>
      <c r="O139">
        <v>1</v>
      </c>
      <c r="P139">
        <v>1</v>
      </c>
    </row>
    <row r="140" spans="1:16" x14ac:dyDescent="0.2">
      <c r="A140" t="s">
        <v>143</v>
      </c>
      <c r="B140">
        <v>39</v>
      </c>
      <c r="C140">
        <v>46</v>
      </c>
      <c r="D140">
        <v>10</v>
      </c>
      <c r="E140">
        <v>2</v>
      </c>
      <c r="F140" t="b">
        <v>1</v>
      </c>
      <c r="G140" t="s">
        <v>4</v>
      </c>
      <c r="H140" t="s">
        <v>3</v>
      </c>
      <c r="I140">
        <v>0</v>
      </c>
      <c r="J140">
        <v>1000</v>
      </c>
      <c r="K140">
        <v>100</v>
      </c>
      <c r="L140">
        <v>3.8822041999082998E-2</v>
      </c>
      <c r="M140" s="1" t="s">
        <v>171</v>
      </c>
      <c r="N140" s="1" t="s">
        <v>172</v>
      </c>
      <c r="O140">
        <v>1000</v>
      </c>
      <c r="P140">
        <v>1</v>
      </c>
    </row>
    <row r="141" spans="1:16" x14ac:dyDescent="0.2">
      <c r="A141" t="s">
        <v>143</v>
      </c>
      <c r="B141">
        <v>39</v>
      </c>
      <c r="C141">
        <v>46</v>
      </c>
      <c r="D141">
        <v>10</v>
      </c>
      <c r="E141">
        <v>2</v>
      </c>
      <c r="F141" t="b">
        <v>1</v>
      </c>
      <c r="G141" t="s">
        <v>2</v>
      </c>
      <c r="H141" t="s">
        <v>3</v>
      </c>
      <c r="I141">
        <v>0.01</v>
      </c>
      <c r="J141">
        <v>1000</v>
      </c>
      <c r="K141">
        <v>100</v>
      </c>
      <c r="L141">
        <v>1.7129540967289299E-2</v>
      </c>
      <c r="M141">
        <v>3.5937541979365002E-2</v>
      </c>
      <c r="N141">
        <v>5.3067082946654402E-2</v>
      </c>
      <c r="O141">
        <v>2</v>
      </c>
      <c r="P141">
        <v>2</v>
      </c>
    </row>
    <row r="142" spans="1:16" x14ac:dyDescent="0.2">
      <c r="A142" t="s">
        <v>143</v>
      </c>
      <c r="B142">
        <v>39</v>
      </c>
      <c r="C142">
        <v>46</v>
      </c>
      <c r="D142">
        <v>10</v>
      </c>
      <c r="E142">
        <v>2</v>
      </c>
      <c r="F142" t="b">
        <v>1</v>
      </c>
      <c r="G142" t="s">
        <v>4</v>
      </c>
      <c r="H142" t="s">
        <v>3</v>
      </c>
      <c r="I142">
        <v>0.01</v>
      </c>
      <c r="J142">
        <v>1000</v>
      </c>
      <c r="K142">
        <v>100</v>
      </c>
      <c r="L142" t="s">
        <v>76</v>
      </c>
      <c r="M142" t="s">
        <v>76</v>
      </c>
      <c r="N142" t="s">
        <v>76</v>
      </c>
      <c r="O142">
        <v>1000</v>
      </c>
      <c r="P142">
        <v>1000</v>
      </c>
    </row>
    <row r="143" spans="1:16" x14ac:dyDescent="0.2">
      <c r="A143" t="s">
        <v>143</v>
      </c>
      <c r="B143">
        <v>39</v>
      </c>
      <c r="C143">
        <v>46</v>
      </c>
      <c r="D143">
        <v>10</v>
      </c>
      <c r="E143">
        <v>2</v>
      </c>
      <c r="F143" t="b">
        <v>1</v>
      </c>
      <c r="G143" t="s">
        <v>2</v>
      </c>
      <c r="H143" t="s">
        <v>3</v>
      </c>
      <c r="I143">
        <v>0.05</v>
      </c>
      <c r="J143">
        <v>1000</v>
      </c>
      <c r="K143">
        <v>100</v>
      </c>
      <c r="L143" s="1" t="s">
        <v>173</v>
      </c>
      <c r="M143">
        <v>2.71233329549431E-2</v>
      </c>
      <c r="N143">
        <v>4.4873874925542602E-2</v>
      </c>
      <c r="O143">
        <v>2</v>
      </c>
      <c r="P143">
        <v>2</v>
      </c>
    </row>
    <row r="144" spans="1:16" x14ac:dyDescent="0.2">
      <c r="A144" t="s">
        <v>143</v>
      </c>
      <c r="B144">
        <v>39</v>
      </c>
      <c r="C144">
        <v>46</v>
      </c>
      <c r="D144">
        <v>10</v>
      </c>
      <c r="E144">
        <v>2</v>
      </c>
      <c r="F144" t="b">
        <v>1</v>
      </c>
      <c r="G144" t="s">
        <v>4</v>
      </c>
      <c r="H144" t="s">
        <v>3</v>
      </c>
      <c r="I144">
        <v>0.05</v>
      </c>
      <c r="J144">
        <v>1000</v>
      </c>
      <c r="K144">
        <v>100</v>
      </c>
      <c r="L144" t="s">
        <v>76</v>
      </c>
      <c r="M144" t="s">
        <v>76</v>
      </c>
      <c r="N144" t="s">
        <v>76</v>
      </c>
      <c r="O144">
        <v>1000</v>
      </c>
      <c r="P144">
        <v>1000</v>
      </c>
    </row>
    <row r="145" spans="1:16" x14ac:dyDescent="0.2">
      <c r="A145" t="s">
        <v>143</v>
      </c>
      <c r="B145">
        <v>39</v>
      </c>
      <c r="C145">
        <v>46</v>
      </c>
      <c r="D145">
        <v>10</v>
      </c>
      <c r="E145">
        <v>2</v>
      </c>
      <c r="F145" t="b">
        <v>1</v>
      </c>
      <c r="G145" t="s">
        <v>2</v>
      </c>
      <c r="H145" t="s">
        <v>3</v>
      </c>
      <c r="I145">
        <v>0.1</v>
      </c>
      <c r="J145">
        <v>1000</v>
      </c>
      <c r="K145">
        <v>100</v>
      </c>
      <c r="L145">
        <v>1.7821209039539099E-2</v>
      </c>
      <c r="M145">
        <v>2.66519589931704E-2</v>
      </c>
      <c r="N145">
        <v>4.4473168032709502E-2</v>
      </c>
      <c r="O145">
        <v>3</v>
      </c>
      <c r="P145">
        <v>3</v>
      </c>
    </row>
    <row r="146" spans="1:16" x14ac:dyDescent="0.2">
      <c r="A146" t="s">
        <v>143</v>
      </c>
      <c r="B146">
        <v>39</v>
      </c>
      <c r="C146">
        <v>46</v>
      </c>
      <c r="D146">
        <v>10</v>
      </c>
      <c r="E146">
        <v>2</v>
      </c>
      <c r="F146" t="b">
        <v>1</v>
      </c>
      <c r="G146" t="s">
        <v>4</v>
      </c>
      <c r="H146" t="s">
        <v>3</v>
      </c>
      <c r="I146">
        <v>0.1</v>
      </c>
      <c r="J146">
        <v>1000</v>
      </c>
      <c r="K146">
        <v>100</v>
      </c>
      <c r="L146" t="s">
        <v>76</v>
      </c>
      <c r="M146" t="s">
        <v>76</v>
      </c>
      <c r="N146" t="s">
        <v>76</v>
      </c>
      <c r="O146">
        <v>1000</v>
      </c>
      <c r="P14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0935-6814-364C-8808-60341C452948}">
  <dimension ref="A1:M134"/>
  <sheetViews>
    <sheetView topLeftCell="A2" workbookViewId="0">
      <selection activeCell="G103" sqref="G103"/>
    </sheetView>
  </sheetViews>
  <sheetFormatPr baseColWidth="10" defaultRowHeight="16" x14ac:dyDescent="0.2"/>
  <cols>
    <col min="2" max="2" width="12.83203125" customWidth="1"/>
    <col min="3" max="3" width="13" customWidth="1"/>
    <col min="5" max="5" width="19" customWidth="1"/>
    <col min="6" max="6" width="13.5" customWidth="1"/>
    <col min="7" max="7" width="12.5" customWidth="1"/>
    <col min="8" max="8" width="13.5" customWidth="1"/>
    <col min="9" max="9" width="14.33203125" customWidth="1"/>
    <col min="11" max="11" width="23.33203125" customWidth="1"/>
    <col min="12" max="12" width="22.83203125" customWidth="1"/>
    <col min="13" max="13" width="26.1640625" customWidth="1"/>
  </cols>
  <sheetData>
    <row r="1" spans="1:13" x14ac:dyDescent="0.2">
      <c r="A1" t="s">
        <v>0</v>
      </c>
    </row>
    <row r="2" spans="1:13" x14ac:dyDescent="0.2">
      <c r="A2" t="s">
        <v>206</v>
      </c>
    </row>
    <row r="3" spans="1:13" x14ac:dyDescent="0.2">
      <c r="A3" t="s">
        <v>175</v>
      </c>
    </row>
    <row r="5" spans="1:13" x14ac:dyDescent="0.2">
      <c r="A5" t="s">
        <v>14</v>
      </c>
      <c r="B5" t="s">
        <v>18</v>
      </c>
      <c r="C5" t="s">
        <v>20</v>
      </c>
      <c r="D5" t="s">
        <v>22</v>
      </c>
      <c r="E5" t="s">
        <v>23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202</v>
      </c>
      <c r="L5" t="s">
        <v>207</v>
      </c>
      <c r="M5" t="s">
        <v>176</v>
      </c>
    </row>
    <row r="6" spans="1:13" hidden="1" x14ac:dyDescent="0.2">
      <c r="A6" t="s">
        <v>203</v>
      </c>
      <c r="B6" t="s">
        <v>212</v>
      </c>
      <c r="C6" t="s">
        <v>2</v>
      </c>
      <c r="D6">
        <v>0</v>
      </c>
      <c r="E6">
        <v>50</v>
      </c>
      <c r="F6">
        <v>3.64874996012076E-3</v>
      </c>
      <c r="G6">
        <v>3.3407208975404501E-2</v>
      </c>
      <c r="H6">
        <v>3.7055958935525199E-2</v>
      </c>
      <c r="I6">
        <v>1</v>
      </c>
      <c r="J6">
        <v>1</v>
      </c>
      <c r="K6" t="b">
        <f>J6&gt;1</f>
        <v>0</v>
      </c>
      <c r="L6" t="b">
        <f>NOT(E6=I6)</f>
        <v>1</v>
      </c>
      <c r="M6" t="b">
        <f>FALSE</f>
        <v>0</v>
      </c>
    </row>
    <row r="7" spans="1:13" x14ac:dyDescent="0.2">
      <c r="A7" t="s">
        <v>203</v>
      </c>
      <c r="B7" t="s">
        <v>212</v>
      </c>
      <c r="C7" t="s">
        <v>4</v>
      </c>
      <c r="D7">
        <v>0</v>
      </c>
      <c r="E7">
        <v>50</v>
      </c>
      <c r="F7" s="1" t="s">
        <v>5</v>
      </c>
      <c r="G7" s="1" t="s">
        <v>6</v>
      </c>
      <c r="H7" s="1" t="s">
        <v>7</v>
      </c>
      <c r="I7">
        <v>8</v>
      </c>
      <c r="J7">
        <v>1</v>
      </c>
      <c r="K7" t="b">
        <f t="shared" ref="K7:K70" si="0">J7&gt;1</f>
        <v>0</v>
      </c>
      <c r="L7" t="b">
        <f>NOT(E7=I7)</f>
        <v>1</v>
      </c>
      <c r="M7" t="b">
        <f>FALSE</f>
        <v>0</v>
      </c>
    </row>
    <row r="8" spans="1:13" hidden="1" x14ac:dyDescent="0.2">
      <c r="A8" t="s">
        <v>203</v>
      </c>
      <c r="B8" t="s">
        <v>212</v>
      </c>
      <c r="C8" t="s">
        <v>2</v>
      </c>
      <c r="D8">
        <v>0.01</v>
      </c>
      <c r="E8">
        <v>50</v>
      </c>
      <c r="F8">
        <v>3.9255000301636703E-3</v>
      </c>
      <c r="G8">
        <v>9.8311660112813098E-3</v>
      </c>
      <c r="H8" s="1" t="s">
        <v>8</v>
      </c>
      <c r="I8">
        <v>2</v>
      </c>
      <c r="J8">
        <v>2</v>
      </c>
      <c r="K8" t="b">
        <f t="shared" si="0"/>
        <v>1</v>
      </c>
      <c r="L8" t="b">
        <f>NOT(E8=I8)</f>
        <v>1</v>
      </c>
      <c r="M8" t="b">
        <f>E6=I6</f>
        <v>0</v>
      </c>
    </row>
    <row r="9" spans="1:13" x14ac:dyDescent="0.2">
      <c r="A9" t="s">
        <v>203</v>
      </c>
      <c r="B9" t="s">
        <v>212</v>
      </c>
      <c r="C9" t="s">
        <v>4</v>
      </c>
      <c r="D9">
        <v>0.01</v>
      </c>
      <c r="E9">
        <v>50</v>
      </c>
      <c r="F9">
        <v>9.8989999969489803E-3</v>
      </c>
      <c r="G9">
        <v>3.9686749980319201E-2</v>
      </c>
      <c r="H9">
        <v>4.9585749977268202E-2</v>
      </c>
      <c r="I9">
        <v>16</v>
      </c>
      <c r="J9">
        <v>2</v>
      </c>
      <c r="K9" t="b">
        <f t="shared" si="0"/>
        <v>1</v>
      </c>
      <c r="L9" t="b">
        <f>NOT(E9=I9)</f>
        <v>1</v>
      </c>
      <c r="M9" t="b">
        <f t="shared" ref="M9:M72" si="1">E7=I7</f>
        <v>0</v>
      </c>
    </row>
    <row r="10" spans="1:13" hidden="1" x14ac:dyDescent="0.2">
      <c r="A10" t="s">
        <v>203</v>
      </c>
      <c r="B10" t="s">
        <v>212</v>
      </c>
      <c r="C10" t="s">
        <v>2</v>
      </c>
      <c r="D10">
        <v>0.05</v>
      </c>
      <c r="E10">
        <v>50</v>
      </c>
      <c r="F10">
        <v>3.8033750024624099E-3</v>
      </c>
      <c r="G10">
        <v>9.4748340197838808E-3</v>
      </c>
      <c r="H10" s="1" t="s">
        <v>9</v>
      </c>
      <c r="I10">
        <v>2</v>
      </c>
      <c r="J10">
        <v>2</v>
      </c>
      <c r="K10" t="b">
        <f t="shared" si="0"/>
        <v>1</v>
      </c>
      <c r="L10" t="b">
        <f>NOT(E10=I10)</f>
        <v>1</v>
      </c>
      <c r="M10" t="b">
        <f t="shared" si="1"/>
        <v>0</v>
      </c>
    </row>
    <row r="11" spans="1:13" x14ac:dyDescent="0.2">
      <c r="A11" t="s">
        <v>203</v>
      </c>
      <c r="B11" t="s">
        <v>212</v>
      </c>
      <c r="C11" t="s">
        <v>4</v>
      </c>
      <c r="D11">
        <v>0.05</v>
      </c>
      <c r="E11">
        <v>50</v>
      </c>
      <c r="F11">
        <v>9.9642500281333906E-3</v>
      </c>
      <c r="G11" s="1" t="s">
        <v>10</v>
      </c>
      <c r="H11">
        <v>4.8456458025611902E-2</v>
      </c>
      <c r="I11">
        <v>16</v>
      </c>
      <c r="J11">
        <v>2</v>
      </c>
      <c r="K11" t="b">
        <f t="shared" si="0"/>
        <v>1</v>
      </c>
      <c r="L11" t="b">
        <f>NOT(E11=I11)</f>
        <v>1</v>
      </c>
      <c r="M11" t="b">
        <f t="shared" si="1"/>
        <v>0</v>
      </c>
    </row>
    <row r="12" spans="1:13" hidden="1" x14ac:dyDescent="0.2">
      <c r="A12" t="s">
        <v>203</v>
      </c>
      <c r="B12" t="s">
        <v>212</v>
      </c>
      <c r="C12" t="s">
        <v>2</v>
      </c>
      <c r="D12">
        <v>0.1</v>
      </c>
      <c r="E12">
        <v>50</v>
      </c>
      <c r="F12">
        <v>3.8714169641025299E-3</v>
      </c>
      <c r="G12">
        <v>9.2505409847944906E-3</v>
      </c>
      <c r="H12" s="1" t="s">
        <v>11</v>
      </c>
      <c r="I12">
        <v>2</v>
      </c>
      <c r="J12">
        <v>2</v>
      </c>
      <c r="K12" t="b">
        <f t="shared" si="0"/>
        <v>1</v>
      </c>
      <c r="L12" t="b">
        <f>NOT(E12=I12)</f>
        <v>1</v>
      </c>
      <c r="M12" t="b">
        <f t="shared" si="1"/>
        <v>0</v>
      </c>
    </row>
    <row r="13" spans="1:13" x14ac:dyDescent="0.2">
      <c r="A13" t="s">
        <v>203</v>
      </c>
      <c r="B13" t="s">
        <v>212</v>
      </c>
      <c r="C13" t="s">
        <v>4</v>
      </c>
      <c r="D13">
        <v>0.1</v>
      </c>
      <c r="E13">
        <v>50</v>
      </c>
      <c r="F13">
        <v>9.8456250270828605E-3</v>
      </c>
      <c r="G13" s="1" t="s">
        <v>12</v>
      </c>
      <c r="H13" s="1" t="s">
        <v>13</v>
      </c>
      <c r="I13">
        <v>16</v>
      </c>
      <c r="J13">
        <v>2</v>
      </c>
      <c r="K13" t="b">
        <f t="shared" si="0"/>
        <v>1</v>
      </c>
      <c r="L13" t="b">
        <f>NOT(E13=I13)</f>
        <v>1</v>
      </c>
      <c r="M13" t="b">
        <f t="shared" si="1"/>
        <v>0</v>
      </c>
    </row>
    <row r="14" spans="1:13" hidden="1" x14ac:dyDescent="0.2">
      <c r="A14" t="s">
        <v>203</v>
      </c>
      <c r="B14" t="s">
        <v>213</v>
      </c>
      <c r="C14" t="s">
        <v>2</v>
      </c>
      <c r="D14">
        <v>0</v>
      </c>
      <c r="E14">
        <v>50</v>
      </c>
      <c r="F14">
        <v>4.8410000163130401E-3</v>
      </c>
      <c r="G14" s="1" t="s">
        <v>30</v>
      </c>
      <c r="H14">
        <v>1.6889291990082701E-2</v>
      </c>
      <c r="I14">
        <v>1</v>
      </c>
      <c r="J14">
        <v>1</v>
      </c>
      <c r="K14" t="b">
        <f t="shared" si="0"/>
        <v>0</v>
      </c>
      <c r="L14" t="b">
        <f>NOT(E14=I14)</f>
        <v>1</v>
      </c>
      <c r="M14" t="b">
        <f t="shared" si="1"/>
        <v>0</v>
      </c>
    </row>
    <row r="15" spans="1:13" x14ac:dyDescent="0.2">
      <c r="A15" t="s">
        <v>203</v>
      </c>
      <c r="B15" t="s">
        <v>213</v>
      </c>
      <c r="C15" t="s">
        <v>4</v>
      </c>
      <c r="D15">
        <v>0</v>
      </c>
      <c r="E15">
        <v>50</v>
      </c>
      <c r="F15" s="1" t="s">
        <v>31</v>
      </c>
      <c r="G15" s="1" t="s">
        <v>32</v>
      </c>
      <c r="H15" s="1" t="s">
        <v>33</v>
      </c>
      <c r="I15">
        <v>8</v>
      </c>
      <c r="J15">
        <v>1</v>
      </c>
      <c r="K15" t="b">
        <f t="shared" si="0"/>
        <v>0</v>
      </c>
      <c r="L15" t="b">
        <f>NOT(E15=I15)</f>
        <v>1</v>
      </c>
      <c r="M15" t="b">
        <f t="shared" si="1"/>
        <v>0</v>
      </c>
    </row>
    <row r="16" spans="1:13" hidden="1" x14ac:dyDescent="0.2">
      <c r="A16" t="s">
        <v>203</v>
      </c>
      <c r="B16" t="s">
        <v>213</v>
      </c>
      <c r="C16" t="s">
        <v>2</v>
      </c>
      <c r="D16">
        <v>0.01</v>
      </c>
      <c r="E16">
        <v>50</v>
      </c>
      <c r="F16">
        <v>4.8263749922625703E-3</v>
      </c>
      <c r="G16">
        <v>9.8311250330880198E-3</v>
      </c>
      <c r="H16">
        <v>1.46575000253506E-2</v>
      </c>
      <c r="I16">
        <v>2</v>
      </c>
      <c r="J16">
        <v>2</v>
      </c>
      <c r="K16" t="b">
        <f t="shared" si="0"/>
        <v>1</v>
      </c>
      <c r="L16" t="b">
        <f>NOT(E16=I16)</f>
        <v>1</v>
      </c>
      <c r="M16" t="b">
        <f t="shared" si="1"/>
        <v>0</v>
      </c>
    </row>
    <row r="17" spans="1:13" x14ac:dyDescent="0.2">
      <c r="A17" t="s">
        <v>203</v>
      </c>
      <c r="B17" t="s">
        <v>213</v>
      </c>
      <c r="C17" t="s">
        <v>4</v>
      </c>
      <c r="D17">
        <v>0.01</v>
      </c>
      <c r="E17">
        <v>50</v>
      </c>
      <c r="F17" s="1" t="s">
        <v>34</v>
      </c>
      <c r="G17">
        <v>3.9366582990623997E-2</v>
      </c>
      <c r="H17">
        <v>5.0780873978510499E-2</v>
      </c>
      <c r="I17">
        <v>16</v>
      </c>
      <c r="J17">
        <v>2</v>
      </c>
      <c r="K17" t="b">
        <f t="shared" si="0"/>
        <v>1</v>
      </c>
      <c r="L17" t="b">
        <f>NOT(E17=I17)</f>
        <v>1</v>
      </c>
      <c r="M17" t="b">
        <f t="shared" si="1"/>
        <v>0</v>
      </c>
    </row>
    <row r="18" spans="1:13" hidden="1" x14ac:dyDescent="0.2">
      <c r="A18" t="s">
        <v>203</v>
      </c>
      <c r="B18" t="s">
        <v>213</v>
      </c>
      <c r="C18" t="s">
        <v>2</v>
      </c>
      <c r="D18">
        <v>0.05</v>
      </c>
      <c r="E18">
        <v>50</v>
      </c>
      <c r="F18">
        <v>4.8513750080019201E-3</v>
      </c>
      <c r="G18">
        <v>9.4713750295340998E-3</v>
      </c>
      <c r="H18" s="1" t="s">
        <v>35</v>
      </c>
      <c r="I18">
        <v>2</v>
      </c>
      <c r="J18">
        <v>2</v>
      </c>
      <c r="K18" t="b">
        <f t="shared" si="0"/>
        <v>1</v>
      </c>
      <c r="L18" t="b">
        <f>NOT(E18=I18)</f>
        <v>1</v>
      </c>
      <c r="M18" t="b">
        <f t="shared" si="1"/>
        <v>0</v>
      </c>
    </row>
    <row r="19" spans="1:13" x14ac:dyDescent="0.2">
      <c r="A19" t="s">
        <v>203</v>
      </c>
      <c r="B19" t="s">
        <v>213</v>
      </c>
      <c r="C19" t="s">
        <v>4</v>
      </c>
      <c r="D19">
        <v>0.05</v>
      </c>
      <c r="E19">
        <v>50</v>
      </c>
      <c r="F19">
        <v>1.1197999992873501E-2</v>
      </c>
      <c r="G19" s="1" t="s">
        <v>36</v>
      </c>
      <c r="H19" s="1" t="s">
        <v>37</v>
      </c>
      <c r="I19">
        <v>16</v>
      </c>
      <c r="J19">
        <v>2</v>
      </c>
      <c r="K19" t="b">
        <f t="shared" si="0"/>
        <v>1</v>
      </c>
      <c r="L19" t="b">
        <f>NOT(E19=I19)</f>
        <v>1</v>
      </c>
      <c r="M19" t="b">
        <f t="shared" si="1"/>
        <v>0</v>
      </c>
    </row>
    <row r="20" spans="1:13" hidden="1" x14ac:dyDescent="0.2">
      <c r="A20" t="s">
        <v>203</v>
      </c>
      <c r="B20" t="s">
        <v>213</v>
      </c>
      <c r="C20" t="s">
        <v>2</v>
      </c>
      <c r="D20">
        <v>0.1</v>
      </c>
      <c r="E20">
        <v>50</v>
      </c>
      <c r="F20">
        <v>4.9682920216582698E-3</v>
      </c>
      <c r="G20">
        <v>9.82912501785904E-3</v>
      </c>
      <c r="H20" s="1" t="s">
        <v>38</v>
      </c>
      <c r="I20">
        <v>2</v>
      </c>
      <c r="J20">
        <v>2</v>
      </c>
      <c r="K20" t="b">
        <f t="shared" si="0"/>
        <v>1</v>
      </c>
      <c r="L20" t="b">
        <f>NOT(E20=I20)</f>
        <v>1</v>
      </c>
      <c r="M20" t="b">
        <f t="shared" si="1"/>
        <v>0</v>
      </c>
    </row>
    <row r="21" spans="1:13" x14ac:dyDescent="0.2">
      <c r="A21" t="s">
        <v>203</v>
      </c>
      <c r="B21" t="s">
        <v>213</v>
      </c>
      <c r="C21" t="s">
        <v>4</v>
      </c>
      <c r="D21">
        <v>0.1</v>
      </c>
      <c r="E21">
        <v>50</v>
      </c>
      <c r="F21" s="1" t="s">
        <v>39</v>
      </c>
      <c r="G21">
        <v>3.9442541019525303E-2</v>
      </c>
      <c r="H21">
        <v>5.0620957976207102E-2</v>
      </c>
      <c r="I21">
        <v>16</v>
      </c>
      <c r="J21">
        <v>2</v>
      </c>
      <c r="K21" t="b">
        <f t="shared" si="0"/>
        <v>1</v>
      </c>
      <c r="L21" t="b">
        <f>NOT(E21=I21)</f>
        <v>1</v>
      </c>
      <c r="M21" t="b">
        <f t="shared" si="1"/>
        <v>0</v>
      </c>
    </row>
    <row r="22" spans="1:13" hidden="1" x14ac:dyDescent="0.2">
      <c r="A22" t="s">
        <v>203</v>
      </c>
      <c r="B22" t="s">
        <v>214</v>
      </c>
      <c r="C22" t="s">
        <v>2</v>
      </c>
      <c r="D22">
        <v>0</v>
      </c>
      <c r="E22">
        <v>50</v>
      </c>
      <c r="F22">
        <v>5.7290000258944903E-3</v>
      </c>
      <c r="G22" s="1" t="s">
        <v>177</v>
      </c>
      <c r="H22" s="1" t="s">
        <v>178</v>
      </c>
      <c r="I22">
        <v>1</v>
      </c>
      <c r="J22">
        <v>1</v>
      </c>
      <c r="K22" t="b">
        <f t="shared" si="0"/>
        <v>0</v>
      </c>
      <c r="L22" t="b">
        <f>NOT(E22=I22)</f>
        <v>1</v>
      </c>
      <c r="M22" t="b">
        <f t="shared" si="1"/>
        <v>0</v>
      </c>
    </row>
    <row r="23" spans="1:13" x14ac:dyDescent="0.2">
      <c r="A23" t="s">
        <v>203</v>
      </c>
      <c r="B23" t="s">
        <v>214</v>
      </c>
      <c r="C23" t="s">
        <v>4</v>
      </c>
      <c r="D23">
        <v>0</v>
      </c>
      <c r="E23">
        <v>50</v>
      </c>
      <c r="F23" s="1" t="s">
        <v>179</v>
      </c>
      <c r="G23" s="1" t="s">
        <v>180</v>
      </c>
      <c r="H23">
        <v>5.4256041999906301E-2</v>
      </c>
      <c r="I23">
        <v>16</v>
      </c>
      <c r="J23">
        <v>1</v>
      </c>
      <c r="K23" t="b">
        <f t="shared" si="0"/>
        <v>0</v>
      </c>
      <c r="L23" t="b">
        <f>NOT(E23=I23)</f>
        <v>1</v>
      </c>
      <c r="M23" t="b">
        <f t="shared" si="1"/>
        <v>0</v>
      </c>
    </row>
    <row r="24" spans="1:13" hidden="1" x14ac:dyDescent="0.2">
      <c r="A24" t="s">
        <v>203</v>
      </c>
      <c r="B24" t="s">
        <v>214</v>
      </c>
      <c r="C24" t="s">
        <v>2</v>
      </c>
      <c r="D24">
        <v>0.01</v>
      </c>
      <c r="E24">
        <v>50</v>
      </c>
      <c r="F24">
        <v>5.7553339865989896E-3</v>
      </c>
      <c r="G24" s="1" t="s">
        <v>181</v>
      </c>
      <c r="H24">
        <v>1.7863001034129401E-2</v>
      </c>
      <c r="I24">
        <v>2</v>
      </c>
      <c r="J24">
        <v>2</v>
      </c>
      <c r="K24" t="b">
        <f t="shared" si="0"/>
        <v>1</v>
      </c>
      <c r="L24" t="b">
        <f>NOT(E24=I24)</f>
        <v>1</v>
      </c>
      <c r="M24" t="b">
        <f t="shared" si="1"/>
        <v>0</v>
      </c>
    </row>
    <row r="25" spans="1:13" x14ac:dyDescent="0.2">
      <c r="A25" t="s">
        <v>203</v>
      </c>
      <c r="B25" t="s">
        <v>214</v>
      </c>
      <c r="C25" t="s">
        <v>4</v>
      </c>
      <c r="D25">
        <v>0.01</v>
      </c>
      <c r="E25">
        <v>50</v>
      </c>
      <c r="F25" s="1" t="s">
        <v>182</v>
      </c>
      <c r="G25">
        <v>4.32321249973028E-2</v>
      </c>
      <c r="H25">
        <v>5.6644999946001903E-2</v>
      </c>
      <c r="I25">
        <v>16</v>
      </c>
      <c r="J25">
        <v>2</v>
      </c>
      <c r="K25" t="b">
        <f t="shared" si="0"/>
        <v>1</v>
      </c>
      <c r="L25" t="b">
        <f>NOT(E25=I25)</f>
        <v>1</v>
      </c>
      <c r="M25" t="b">
        <f t="shared" si="1"/>
        <v>0</v>
      </c>
    </row>
    <row r="26" spans="1:13" hidden="1" x14ac:dyDescent="0.2">
      <c r="A26" t="s">
        <v>203</v>
      </c>
      <c r="B26" t="s">
        <v>214</v>
      </c>
      <c r="C26" t="s">
        <v>2</v>
      </c>
      <c r="D26">
        <v>0.05</v>
      </c>
      <c r="E26">
        <v>50</v>
      </c>
      <c r="F26">
        <v>5.7482909760437897E-3</v>
      </c>
      <c r="G26">
        <v>3.2691667031031102E-2</v>
      </c>
      <c r="H26">
        <v>3.8439958007074802E-2</v>
      </c>
      <c r="I26">
        <v>4</v>
      </c>
      <c r="J26">
        <v>4</v>
      </c>
      <c r="K26" t="b">
        <f t="shared" si="0"/>
        <v>1</v>
      </c>
      <c r="L26" t="b">
        <f>NOT(E26=I26)</f>
        <v>1</v>
      </c>
      <c r="M26" t="b">
        <f t="shared" si="1"/>
        <v>0</v>
      </c>
    </row>
    <row r="27" spans="1:13" x14ac:dyDescent="0.2">
      <c r="A27" t="s">
        <v>203</v>
      </c>
      <c r="B27" t="s">
        <v>214</v>
      </c>
      <c r="C27" t="s">
        <v>4</v>
      </c>
      <c r="D27">
        <v>0.05</v>
      </c>
      <c r="E27">
        <v>50</v>
      </c>
      <c r="F27" s="1" t="s">
        <v>183</v>
      </c>
      <c r="G27">
        <v>4.09830420394428E-2</v>
      </c>
      <c r="H27" s="1" t="s">
        <v>184</v>
      </c>
      <c r="I27">
        <v>16</v>
      </c>
      <c r="J27">
        <v>4</v>
      </c>
      <c r="K27" t="b">
        <f t="shared" si="0"/>
        <v>1</v>
      </c>
      <c r="L27" t="b">
        <f>NOT(E27=I27)</f>
        <v>1</v>
      </c>
      <c r="M27" t="b">
        <f t="shared" si="1"/>
        <v>0</v>
      </c>
    </row>
    <row r="28" spans="1:13" hidden="1" x14ac:dyDescent="0.2">
      <c r="A28" t="s">
        <v>203</v>
      </c>
      <c r="B28" t="s">
        <v>214</v>
      </c>
      <c r="C28" t="s">
        <v>2</v>
      </c>
      <c r="D28">
        <v>0.1</v>
      </c>
      <c r="E28">
        <v>50</v>
      </c>
      <c r="F28">
        <v>5.8283339603804E-3</v>
      </c>
      <c r="G28" s="1" t="s">
        <v>185</v>
      </c>
      <c r="H28" s="1" t="s">
        <v>186</v>
      </c>
      <c r="I28">
        <v>4</v>
      </c>
      <c r="J28">
        <v>4</v>
      </c>
      <c r="K28" t="b">
        <f t="shared" si="0"/>
        <v>1</v>
      </c>
      <c r="L28" t="b">
        <f>NOT(E28=I28)</f>
        <v>1</v>
      </c>
      <c r="M28" t="b">
        <f t="shared" si="1"/>
        <v>0</v>
      </c>
    </row>
    <row r="29" spans="1:13" x14ac:dyDescent="0.2">
      <c r="A29" t="s">
        <v>203</v>
      </c>
      <c r="B29" t="s">
        <v>214</v>
      </c>
      <c r="C29" t="s">
        <v>4</v>
      </c>
      <c r="D29">
        <v>0.1</v>
      </c>
      <c r="E29">
        <v>50</v>
      </c>
      <c r="F29" s="1" t="s">
        <v>187</v>
      </c>
      <c r="G29">
        <v>4.1255332995206097E-2</v>
      </c>
      <c r="H29">
        <v>5.4334207961801398E-2</v>
      </c>
      <c r="I29">
        <v>16</v>
      </c>
      <c r="J29">
        <v>4</v>
      </c>
      <c r="K29" t="b">
        <f t="shared" si="0"/>
        <v>1</v>
      </c>
      <c r="L29" t="b">
        <f>NOT(E29=I29)</f>
        <v>1</v>
      </c>
      <c r="M29" t="b">
        <f t="shared" si="1"/>
        <v>0</v>
      </c>
    </row>
    <row r="30" spans="1:13" hidden="1" x14ac:dyDescent="0.2"/>
    <row r="31" spans="1:13" hidden="1" x14ac:dyDescent="0.2"/>
    <row r="32" spans="1:13" hidden="1" x14ac:dyDescent="0.2"/>
    <row r="33" spans="1:13" hidden="1" x14ac:dyDescent="0.2">
      <c r="A33" t="s">
        <v>204</v>
      </c>
      <c r="B33" t="s">
        <v>212</v>
      </c>
      <c r="C33" t="s">
        <v>2</v>
      </c>
      <c r="D33">
        <v>0</v>
      </c>
      <c r="E33">
        <v>1000</v>
      </c>
      <c r="F33">
        <v>3.8219589623622501E-3</v>
      </c>
      <c r="G33" s="1" t="s">
        <v>41</v>
      </c>
      <c r="H33" s="1" t="s">
        <v>42</v>
      </c>
      <c r="I33">
        <v>1</v>
      </c>
      <c r="J33">
        <v>1</v>
      </c>
      <c r="K33" t="b">
        <f t="shared" si="0"/>
        <v>0</v>
      </c>
      <c r="L33" t="b">
        <f>NOT(E33=I33)</f>
        <v>1</v>
      </c>
      <c r="M33" t="b">
        <f>FALSE</f>
        <v>0</v>
      </c>
    </row>
    <row r="34" spans="1:13" x14ac:dyDescent="0.2">
      <c r="A34" t="s">
        <v>204</v>
      </c>
      <c r="B34" t="s">
        <v>212</v>
      </c>
      <c r="C34" t="s">
        <v>4</v>
      </c>
      <c r="D34">
        <v>0</v>
      </c>
      <c r="E34">
        <v>1000</v>
      </c>
      <c r="F34" s="1" t="s">
        <v>43</v>
      </c>
      <c r="G34">
        <v>1.35978750186041E-2</v>
      </c>
      <c r="H34">
        <v>2.50757079920731E-2</v>
      </c>
      <c r="I34">
        <v>2</v>
      </c>
      <c r="J34">
        <v>1</v>
      </c>
      <c r="K34" t="b">
        <f t="shared" si="0"/>
        <v>0</v>
      </c>
      <c r="L34" t="b">
        <f>NOT(E34=I34)</f>
        <v>1</v>
      </c>
      <c r="M34" t="b">
        <f>FALSE</f>
        <v>0</v>
      </c>
    </row>
    <row r="35" spans="1:13" hidden="1" x14ac:dyDescent="0.2">
      <c r="A35" t="s">
        <v>204</v>
      </c>
      <c r="B35" t="s">
        <v>212</v>
      </c>
      <c r="C35" t="s">
        <v>2</v>
      </c>
      <c r="D35">
        <v>0.01</v>
      </c>
      <c r="E35">
        <v>1000</v>
      </c>
      <c r="F35">
        <v>4.0992090362124102E-3</v>
      </c>
      <c r="G35" s="1" t="s">
        <v>44</v>
      </c>
      <c r="H35">
        <v>1.4106084010563701E-2</v>
      </c>
      <c r="I35">
        <v>2</v>
      </c>
      <c r="J35">
        <v>2</v>
      </c>
      <c r="K35" t="b">
        <f t="shared" si="0"/>
        <v>1</v>
      </c>
      <c r="L35" t="b">
        <f>NOT(E35=I35)</f>
        <v>1</v>
      </c>
      <c r="M35" t="b">
        <f t="shared" si="1"/>
        <v>0</v>
      </c>
    </row>
    <row r="36" spans="1:13" x14ac:dyDescent="0.2">
      <c r="A36" t="s">
        <v>204</v>
      </c>
      <c r="B36" t="s">
        <v>212</v>
      </c>
      <c r="C36" t="s">
        <v>4</v>
      </c>
      <c r="D36">
        <v>0.01</v>
      </c>
      <c r="E36">
        <v>1000</v>
      </c>
      <c r="F36" s="1" t="s">
        <v>45</v>
      </c>
      <c r="G36">
        <v>1.71585000352934E-2</v>
      </c>
      <c r="H36" s="1" t="s">
        <v>46</v>
      </c>
      <c r="I36">
        <v>4</v>
      </c>
      <c r="J36">
        <v>2</v>
      </c>
      <c r="K36" t="b">
        <f t="shared" si="0"/>
        <v>1</v>
      </c>
      <c r="L36" t="b">
        <f>NOT(E36=I36)</f>
        <v>1</v>
      </c>
      <c r="M36" t="b">
        <f t="shared" si="1"/>
        <v>0</v>
      </c>
    </row>
    <row r="37" spans="1:13" hidden="1" x14ac:dyDescent="0.2">
      <c r="A37" t="s">
        <v>204</v>
      </c>
      <c r="B37" t="s">
        <v>212</v>
      </c>
      <c r="C37" t="s">
        <v>2</v>
      </c>
      <c r="D37">
        <v>0.05</v>
      </c>
      <c r="E37">
        <v>1000</v>
      </c>
      <c r="F37">
        <v>3.6986659979447701E-3</v>
      </c>
      <c r="G37">
        <v>9.6126249991357292E-3</v>
      </c>
      <c r="H37" s="1" t="s">
        <v>47</v>
      </c>
      <c r="I37">
        <v>2</v>
      </c>
      <c r="J37">
        <v>2</v>
      </c>
      <c r="K37" t="b">
        <f t="shared" si="0"/>
        <v>1</v>
      </c>
      <c r="L37" t="b">
        <f>NOT(E37=I37)</f>
        <v>1</v>
      </c>
      <c r="M37" t="b">
        <f t="shared" si="1"/>
        <v>0</v>
      </c>
    </row>
    <row r="38" spans="1:13" x14ac:dyDescent="0.2">
      <c r="A38" t="s">
        <v>204</v>
      </c>
      <c r="B38" t="s">
        <v>212</v>
      </c>
      <c r="C38" t="s">
        <v>4</v>
      </c>
      <c r="D38">
        <v>0.05</v>
      </c>
      <c r="E38">
        <v>1000</v>
      </c>
      <c r="F38" s="1" t="s">
        <v>48</v>
      </c>
      <c r="G38" s="1" t="s">
        <v>49</v>
      </c>
      <c r="H38">
        <v>2.8001042024698101E-2</v>
      </c>
      <c r="I38">
        <v>4</v>
      </c>
      <c r="J38">
        <v>2</v>
      </c>
      <c r="K38" t="b">
        <f t="shared" si="0"/>
        <v>1</v>
      </c>
      <c r="L38" t="b">
        <f>NOT(E38=I38)</f>
        <v>1</v>
      </c>
      <c r="M38" t="b">
        <f t="shared" si="1"/>
        <v>0</v>
      </c>
    </row>
    <row r="39" spans="1:13" hidden="1" x14ac:dyDescent="0.2">
      <c r="A39" t="s">
        <v>204</v>
      </c>
      <c r="B39" t="s">
        <v>212</v>
      </c>
      <c r="C39" t="s">
        <v>2</v>
      </c>
      <c r="D39">
        <v>0.1</v>
      </c>
      <c r="E39">
        <v>1000</v>
      </c>
      <c r="F39">
        <v>3.94125003367662E-3</v>
      </c>
      <c r="G39">
        <v>9.8437499837018497E-3</v>
      </c>
      <c r="H39">
        <v>1.3785000017378399E-2</v>
      </c>
      <c r="I39">
        <v>2</v>
      </c>
      <c r="J39">
        <v>2</v>
      </c>
      <c r="K39" t="b">
        <f t="shared" si="0"/>
        <v>1</v>
      </c>
      <c r="L39" t="b">
        <f>NOT(E39=I39)</f>
        <v>1</v>
      </c>
      <c r="M39" t="b">
        <f t="shared" si="1"/>
        <v>0</v>
      </c>
    </row>
    <row r="40" spans="1:13" x14ac:dyDescent="0.2">
      <c r="A40" t="s">
        <v>204</v>
      </c>
      <c r="B40" t="s">
        <v>212</v>
      </c>
      <c r="C40" t="s">
        <v>4</v>
      </c>
      <c r="D40">
        <v>0.1</v>
      </c>
      <c r="E40">
        <v>1000</v>
      </c>
      <c r="F40" s="1" t="s">
        <v>50</v>
      </c>
      <c r="G40">
        <v>1.6988583025522499E-2</v>
      </c>
      <c r="H40" s="1" t="s">
        <v>51</v>
      </c>
      <c r="I40">
        <v>4</v>
      </c>
      <c r="J40">
        <v>2</v>
      </c>
      <c r="K40" t="b">
        <f t="shared" si="0"/>
        <v>1</v>
      </c>
      <c r="L40" t="b">
        <f>NOT(E40=I40)</f>
        <v>1</v>
      </c>
      <c r="M40" t="b">
        <f t="shared" si="1"/>
        <v>0</v>
      </c>
    </row>
    <row r="41" spans="1:13" hidden="1" x14ac:dyDescent="0.2">
      <c r="A41" t="s">
        <v>204</v>
      </c>
      <c r="B41" t="s">
        <v>213</v>
      </c>
      <c r="C41" t="s">
        <v>2</v>
      </c>
      <c r="D41">
        <v>0</v>
      </c>
      <c r="E41">
        <v>1000</v>
      </c>
      <c r="F41">
        <v>6.2451669946312896E-3</v>
      </c>
      <c r="G41" s="1" t="s">
        <v>210</v>
      </c>
      <c r="H41" s="1" t="s">
        <v>211</v>
      </c>
      <c r="I41">
        <v>1</v>
      </c>
      <c r="J41">
        <v>1</v>
      </c>
      <c r="K41" t="b">
        <f t="shared" si="0"/>
        <v>0</v>
      </c>
      <c r="L41" t="b">
        <f>NOT(E41=I41)</f>
        <v>1</v>
      </c>
      <c r="M41" t="b">
        <f t="shared" si="1"/>
        <v>0</v>
      </c>
    </row>
    <row r="42" spans="1:13" x14ac:dyDescent="0.2">
      <c r="A42" t="s">
        <v>204</v>
      </c>
      <c r="B42" t="s">
        <v>213</v>
      </c>
      <c r="C42" t="s">
        <v>4</v>
      </c>
      <c r="D42">
        <v>0</v>
      </c>
      <c r="E42">
        <v>1000</v>
      </c>
      <c r="F42" s="1" t="s">
        <v>52</v>
      </c>
      <c r="G42">
        <v>1.2424374988768199E-2</v>
      </c>
      <c r="H42" s="1" t="s">
        <v>53</v>
      </c>
      <c r="I42">
        <v>2</v>
      </c>
      <c r="J42">
        <v>1</v>
      </c>
      <c r="K42" t="b">
        <f t="shared" si="0"/>
        <v>0</v>
      </c>
      <c r="L42" t="b">
        <f>NOT(E42=I42)</f>
        <v>1</v>
      </c>
      <c r="M42" t="b">
        <f t="shared" si="1"/>
        <v>0</v>
      </c>
    </row>
    <row r="43" spans="1:13" hidden="1" x14ac:dyDescent="0.2">
      <c r="A43" t="s">
        <v>204</v>
      </c>
      <c r="B43" t="s">
        <v>213</v>
      </c>
      <c r="C43" t="s">
        <v>2</v>
      </c>
      <c r="D43">
        <v>0.01</v>
      </c>
      <c r="E43">
        <v>1000</v>
      </c>
      <c r="F43">
        <v>6.0429580044001297E-3</v>
      </c>
      <c r="G43" s="1" t="s">
        <v>54</v>
      </c>
      <c r="H43" s="1" t="s">
        <v>55</v>
      </c>
      <c r="I43">
        <v>2</v>
      </c>
      <c r="J43">
        <v>2</v>
      </c>
      <c r="K43" t="b">
        <f t="shared" si="0"/>
        <v>1</v>
      </c>
      <c r="L43" t="b">
        <f>NOT(E43=I43)</f>
        <v>1</v>
      </c>
      <c r="M43" t="b">
        <f t="shared" si="1"/>
        <v>0</v>
      </c>
    </row>
    <row r="44" spans="1:13" x14ac:dyDescent="0.2">
      <c r="A44" t="s">
        <v>204</v>
      </c>
      <c r="B44" t="s">
        <v>213</v>
      </c>
      <c r="C44" t="s">
        <v>4</v>
      </c>
      <c r="D44">
        <v>0.01</v>
      </c>
      <c r="E44">
        <v>1000</v>
      </c>
      <c r="F44" s="1" t="s">
        <v>56</v>
      </c>
      <c r="G44" s="1" t="s">
        <v>57</v>
      </c>
      <c r="H44">
        <v>3.7759375001769499E-2</v>
      </c>
      <c r="I44">
        <v>4</v>
      </c>
      <c r="J44">
        <v>2</v>
      </c>
      <c r="K44" t="b">
        <f t="shared" si="0"/>
        <v>1</v>
      </c>
      <c r="L44" t="b">
        <f>NOT(E44=I44)</f>
        <v>1</v>
      </c>
      <c r="M44" t="b">
        <f t="shared" si="1"/>
        <v>0</v>
      </c>
    </row>
    <row r="45" spans="1:13" hidden="1" x14ac:dyDescent="0.2">
      <c r="A45" t="s">
        <v>204</v>
      </c>
      <c r="B45" t="s">
        <v>213</v>
      </c>
      <c r="C45" t="s">
        <v>2</v>
      </c>
      <c r="D45">
        <v>0.05</v>
      </c>
      <c r="E45">
        <v>1000</v>
      </c>
      <c r="F45">
        <v>6.1315839993767397E-3</v>
      </c>
      <c r="G45" s="1" t="s">
        <v>58</v>
      </c>
      <c r="H45" s="1" t="s">
        <v>59</v>
      </c>
      <c r="I45">
        <v>2</v>
      </c>
      <c r="J45">
        <v>2</v>
      </c>
      <c r="K45" t="b">
        <f t="shared" si="0"/>
        <v>1</v>
      </c>
      <c r="L45" t="b">
        <f>NOT(E45=I45)</f>
        <v>1</v>
      </c>
      <c r="M45" t="b">
        <f t="shared" si="1"/>
        <v>0</v>
      </c>
    </row>
    <row r="46" spans="1:13" x14ac:dyDescent="0.2">
      <c r="A46" t="s">
        <v>204</v>
      </c>
      <c r="B46" t="s">
        <v>213</v>
      </c>
      <c r="C46" t="s">
        <v>4</v>
      </c>
      <c r="D46">
        <v>0.05</v>
      </c>
      <c r="E46">
        <v>1000</v>
      </c>
      <c r="F46">
        <v>1.6482207982335201E-2</v>
      </c>
      <c r="G46" s="1" t="s">
        <v>60</v>
      </c>
      <c r="H46">
        <v>3.4348998975474297E-2</v>
      </c>
      <c r="I46">
        <v>4</v>
      </c>
      <c r="J46">
        <v>2</v>
      </c>
      <c r="K46" t="b">
        <f t="shared" si="0"/>
        <v>1</v>
      </c>
      <c r="L46" t="b">
        <f>NOT(E46=I46)</f>
        <v>1</v>
      </c>
      <c r="M46" t="b">
        <f t="shared" si="1"/>
        <v>0</v>
      </c>
    </row>
    <row r="47" spans="1:13" hidden="1" x14ac:dyDescent="0.2">
      <c r="A47" t="s">
        <v>204</v>
      </c>
      <c r="B47" t="s">
        <v>213</v>
      </c>
      <c r="C47" t="s">
        <v>2</v>
      </c>
      <c r="D47">
        <v>0.1</v>
      </c>
      <c r="E47">
        <v>1000</v>
      </c>
      <c r="F47">
        <v>5.88804099243134E-3</v>
      </c>
      <c r="G47" s="1" t="s">
        <v>61</v>
      </c>
      <c r="H47" s="1" t="s">
        <v>62</v>
      </c>
      <c r="I47">
        <v>2</v>
      </c>
      <c r="J47">
        <v>2</v>
      </c>
      <c r="K47" t="b">
        <f t="shared" si="0"/>
        <v>1</v>
      </c>
      <c r="L47" t="b">
        <f>NOT(E47=I47)</f>
        <v>1</v>
      </c>
      <c r="M47" t="b">
        <f t="shared" si="1"/>
        <v>0</v>
      </c>
    </row>
    <row r="48" spans="1:13" x14ac:dyDescent="0.2">
      <c r="A48" t="s">
        <v>204</v>
      </c>
      <c r="B48" t="s">
        <v>213</v>
      </c>
      <c r="C48" t="s">
        <v>4</v>
      </c>
      <c r="D48">
        <v>0.1</v>
      </c>
      <c r="E48">
        <v>1000</v>
      </c>
      <c r="F48" s="1" t="s">
        <v>63</v>
      </c>
      <c r="G48" s="1" t="s">
        <v>64</v>
      </c>
      <c r="H48">
        <v>3.3988166949711698E-2</v>
      </c>
      <c r="I48">
        <v>4</v>
      </c>
      <c r="J48">
        <v>2</v>
      </c>
      <c r="K48" t="b">
        <f t="shared" si="0"/>
        <v>1</v>
      </c>
      <c r="L48" t="b">
        <f>NOT(E48=I48)</f>
        <v>1</v>
      </c>
      <c r="M48" t="b">
        <f t="shared" si="1"/>
        <v>0</v>
      </c>
    </row>
    <row r="49" spans="1:13" hidden="1" x14ac:dyDescent="0.2">
      <c r="A49" t="s">
        <v>204</v>
      </c>
      <c r="B49" t="s">
        <v>214</v>
      </c>
      <c r="C49" t="s">
        <v>2</v>
      </c>
      <c r="D49">
        <v>0</v>
      </c>
      <c r="E49">
        <v>1000</v>
      </c>
      <c r="F49">
        <v>8.91329097794368E-3</v>
      </c>
      <c r="G49" s="1" t="s">
        <v>188</v>
      </c>
      <c r="H49" s="1" t="s">
        <v>189</v>
      </c>
      <c r="I49">
        <v>1</v>
      </c>
      <c r="J49">
        <v>1</v>
      </c>
      <c r="K49" t="b">
        <f t="shared" si="0"/>
        <v>0</v>
      </c>
      <c r="L49" t="b">
        <f>NOT(E49=I49)</f>
        <v>1</v>
      </c>
      <c r="M49" t="b">
        <f t="shared" si="1"/>
        <v>0</v>
      </c>
    </row>
    <row r="50" spans="1:13" x14ac:dyDescent="0.2">
      <c r="A50" t="s">
        <v>204</v>
      </c>
      <c r="B50" t="s">
        <v>214</v>
      </c>
      <c r="C50" t="s">
        <v>4</v>
      </c>
      <c r="D50">
        <v>0</v>
      </c>
      <c r="E50">
        <v>1000</v>
      </c>
      <c r="F50" s="1" t="s">
        <v>190</v>
      </c>
      <c r="G50" s="1" t="s">
        <v>191</v>
      </c>
      <c r="H50">
        <v>3.4423625038470997E-2</v>
      </c>
      <c r="I50">
        <v>2</v>
      </c>
      <c r="J50">
        <v>1</v>
      </c>
      <c r="K50" t="b">
        <f t="shared" si="0"/>
        <v>0</v>
      </c>
      <c r="L50" t="b">
        <f>NOT(E50=I50)</f>
        <v>1</v>
      </c>
      <c r="M50" t="b">
        <f t="shared" si="1"/>
        <v>0</v>
      </c>
    </row>
    <row r="51" spans="1:13" hidden="1" x14ac:dyDescent="0.2">
      <c r="A51" t="s">
        <v>204</v>
      </c>
      <c r="B51" t="s">
        <v>214</v>
      </c>
      <c r="C51" t="s">
        <v>2</v>
      </c>
      <c r="D51">
        <v>0.01</v>
      </c>
      <c r="E51">
        <v>1000</v>
      </c>
      <c r="F51">
        <v>9.2620420036837407E-3</v>
      </c>
      <c r="G51" s="1" t="s">
        <v>192</v>
      </c>
      <c r="H51" s="1" t="s">
        <v>193</v>
      </c>
      <c r="I51">
        <v>2</v>
      </c>
      <c r="J51">
        <v>2</v>
      </c>
      <c r="K51" t="b">
        <f t="shared" si="0"/>
        <v>1</v>
      </c>
      <c r="L51" t="b">
        <f>NOT(E51=I51)</f>
        <v>1</v>
      </c>
      <c r="M51" t="b">
        <f t="shared" si="1"/>
        <v>0</v>
      </c>
    </row>
    <row r="52" spans="1:13" x14ac:dyDescent="0.2">
      <c r="A52" t="s">
        <v>204</v>
      </c>
      <c r="B52" t="s">
        <v>214</v>
      </c>
      <c r="C52" t="s">
        <v>4</v>
      </c>
      <c r="D52">
        <v>0.01</v>
      </c>
      <c r="E52">
        <v>1000</v>
      </c>
      <c r="F52" s="1" t="s">
        <v>194</v>
      </c>
      <c r="G52" s="1" t="s">
        <v>195</v>
      </c>
      <c r="H52">
        <v>4.0525791060645099E-2</v>
      </c>
      <c r="I52">
        <v>4</v>
      </c>
      <c r="J52">
        <v>2</v>
      </c>
      <c r="K52" t="b">
        <f t="shared" si="0"/>
        <v>1</v>
      </c>
      <c r="L52" t="b">
        <f>NOT(E52=I52)</f>
        <v>1</v>
      </c>
      <c r="M52" t="b">
        <f t="shared" si="1"/>
        <v>0</v>
      </c>
    </row>
    <row r="53" spans="1:13" hidden="1" x14ac:dyDescent="0.2">
      <c r="A53" t="s">
        <v>204</v>
      </c>
      <c r="B53" t="s">
        <v>214</v>
      </c>
      <c r="C53" t="s">
        <v>2</v>
      </c>
      <c r="D53">
        <v>0.05</v>
      </c>
      <c r="E53">
        <v>1000</v>
      </c>
      <c r="F53">
        <v>8.6010410450398905E-3</v>
      </c>
      <c r="G53" s="1" t="s">
        <v>196</v>
      </c>
      <c r="H53" s="1" t="s">
        <v>197</v>
      </c>
      <c r="I53">
        <v>2</v>
      </c>
      <c r="J53">
        <v>2</v>
      </c>
      <c r="K53" t="b">
        <f t="shared" si="0"/>
        <v>1</v>
      </c>
      <c r="L53" t="b">
        <f>NOT(E53=I53)</f>
        <v>1</v>
      </c>
      <c r="M53" t="b">
        <f t="shared" si="1"/>
        <v>0</v>
      </c>
    </row>
    <row r="54" spans="1:13" x14ac:dyDescent="0.2">
      <c r="A54" t="s">
        <v>204</v>
      </c>
      <c r="B54" t="s">
        <v>214</v>
      </c>
      <c r="C54" t="s">
        <v>4</v>
      </c>
      <c r="D54">
        <v>0.05</v>
      </c>
      <c r="E54">
        <v>1000</v>
      </c>
      <c r="F54">
        <v>2.0276249968446701E-2</v>
      </c>
      <c r="G54">
        <v>1.9243209040723699E-2</v>
      </c>
      <c r="H54">
        <v>3.9519459009170498E-2</v>
      </c>
      <c r="I54">
        <v>4</v>
      </c>
      <c r="J54">
        <v>2</v>
      </c>
      <c r="K54" t="b">
        <f t="shared" si="0"/>
        <v>1</v>
      </c>
      <c r="L54" t="b">
        <f>NOT(E54=I54)</f>
        <v>1</v>
      </c>
      <c r="M54" t="b">
        <f t="shared" si="1"/>
        <v>0</v>
      </c>
    </row>
    <row r="55" spans="1:13" hidden="1" x14ac:dyDescent="0.2">
      <c r="A55" t="s">
        <v>204</v>
      </c>
      <c r="B55" t="s">
        <v>214</v>
      </c>
      <c r="C55" t="s">
        <v>2</v>
      </c>
      <c r="D55">
        <v>0.1</v>
      </c>
      <c r="E55">
        <v>1000</v>
      </c>
      <c r="F55">
        <v>8.7145830038934894E-3</v>
      </c>
      <c r="G55" s="1" t="s">
        <v>198</v>
      </c>
      <c r="H55" s="1" t="s">
        <v>199</v>
      </c>
      <c r="I55">
        <v>2</v>
      </c>
      <c r="J55">
        <v>2</v>
      </c>
      <c r="K55" t="b">
        <f t="shared" si="0"/>
        <v>1</v>
      </c>
      <c r="L55" t="b">
        <f>NOT(E55=I55)</f>
        <v>1</v>
      </c>
      <c r="M55" t="b">
        <f t="shared" si="1"/>
        <v>0</v>
      </c>
    </row>
    <row r="56" spans="1:13" x14ac:dyDescent="0.2">
      <c r="A56" t="s">
        <v>204</v>
      </c>
      <c r="B56" t="s">
        <v>214</v>
      </c>
      <c r="C56" t="s">
        <v>4</v>
      </c>
      <c r="D56">
        <v>0.1</v>
      </c>
      <c r="E56">
        <v>1000</v>
      </c>
      <c r="F56">
        <v>2.02204170054756E-2</v>
      </c>
      <c r="G56" s="1" t="s">
        <v>200</v>
      </c>
      <c r="H56" s="1" t="s">
        <v>201</v>
      </c>
      <c r="I56">
        <v>4</v>
      </c>
      <c r="J56">
        <v>2</v>
      </c>
      <c r="K56" t="b">
        <f t="shared" si="0"/>
        <v>1</v>
      </c>
      <c r="L56" t="b">
        <f>NOT(E56=I56)</f>
        <v>1</v>
      </c>
      <c r="M56" t="b">
        <f t="shared" si="1"/>
        <v>0</v>
      </c>
    </row>
    <row r="57" spans="1:13" hidden="1" x14ac:dyDescent="0.2"/>
    <row r="58" spans="1:13" hidden="1" x14ac:dyDescent="0.2"/>
    <row r="59" spans="1:13" hidden="1" x14ac:dyDescent="0.2">
      <c r="A59" t="s">
        <v>205</v>
      </c>
      <c r="B59" t="s">
        <v>212</v>
      </c>
      <c r="C59" t="s">
        <v>2</v>
      </c>
      <c r="D59">
        <v>0</v>
      </c>
      <c r="E59">
        <v>1000</v>
      </c>
      <c r="F59">
        <v>5.2669579745270303E-3</v>
      </c>
      <c r="G59">
        <v>2.32140000443905E-2</v>
      </c>
      <c r="H59">
        <v>2.84809580189175E-2</v>
      </c>
      <c r="I59">
        <v>1</v>
      </c>
      <c r="J59">
        <v>1</v>
      </c>
      <c r="K59" t="b">
        <f t="shared" si="0"/>
        <v>0</v>
      </c>
      <c r="L59" t="b">
        <f>NOT(E59=I59)</f>
        <v>1</v>
      </c>
      <c r="M59" t="b">
        <f>FALSE</f>
        <v>0</v>
      </c>
    </row>
    <row r="60" spans="1:13" x14ac:dyDescent="0.2">
      <c r="A60" t="s">
        <v>205</v>
      </c>
      <c r="B60" t="s">
        <v>212</v>
      </c>
      <c r="C60" t="s">
        <v>4</v>
      </c>
      <c r="D60">
        <v>0</v>
      </c>
      <c r="E60">
        <v>1000</v>
      </c>
      <c r="F60" s="1" t="s">
        <v>66</v>
      </c>
      <c r="G60" s="1" t="s">
        <v>67</v>
      </c>
      <c r="H60" s="1" t="s">
        <v>68</v>
      </c>
      <c r="I60">
        <v>256</v>
      </c>
      <c r="J60">
        <v>1</v>
      </c>
      <c r="K60" t="b">
        <f t="shared" si="0"/>
        <v>0</v>
      </c>
      <c r="L60" t="b">
        <f>NOT(E60=I60)</f>
        <v>1</v>
      </c>
      <c r="M60" t="b">
        <f>FALSE</f>
        <v>0</v>
      </c>
    </row>
    <row r="61" spans="1:13" hidden="1" x14ac:dyDescent="0.2">
      <c r="A61" t="s">
        <v>205</v>
      </c>
      <c r="B61" t="s">
        <v>212</v>
      </c>
      <c r="C61" t="s">
        <v>2</v>
      </c>
      <c r="D61">
        <v>0.01</v>
      </c>
      <c r="E61">
        <v>1000</v>
      </c>
      <c r="F61">
        <v>5.4867500439286197E-3</v>
      </c>
      <c r="G61" s="1" t="s">
        <v>69</v>
      </c>
      <c r="H61" s="1" t="s">
        <v>70</v>
      </c>
      <c r="I61">
        <v>4</v>
      </c>
      <c r="J61">
        <v>4</v>
      </c>
      <c r="K61" t="b">
        <f t="shared" si="0"/>
        <v>1</v>
      </c>
      <c r="L61" t="b">
        <f>NOT(E61=I61)</f>
        <v>1</v>
      </c>
      <c r="M61" t="b">
        <f t="shared" si="1"/>
        <v>0</v>
      </c>
    </row>
    <row r="62" spans="1:13" x14ac:dyDescent="0.2">
      <c r="A62" t="s">
        <v>205</v>
      </c>
      <c r="B62" t="s">
        <v>212</v>
      </c>
      <c r="C62" t="s">
        <v>4</v>
      </c>
      <c r="D62">
        <v>0.01</v>
      </c>
      <c r="E62">
        <v>1000</v>
      </c>
      <c r="F62" s="1" t="s">
        <v>71</v>
      </c>
      <c r="G62" s="1" t="s">
        <v>72</v>
      </c>
      <c r="H62" s="1" t="s">
        <v>73</v>
      </c>
      <c r="I62">
        <v>1000</v>
      </c>
      <c r="J62">
        <v>4</v>
      </c>
      <c r="K62" t="b">
        <f t="shared" si="0"/>
        <v>1</v>
      </c>
      <c r="L62" t="b">
        <f>NOT(E62=I62)</f>
        <v>0</v>
      </c>
      <c r="M62" t="b">
        <f t="shared" si="1"/>
        <v>0</v>
      </c>
    </row>
    <row r="63" spans="1:13" hidden="1" x14ac:dyDescent="0.2">
      <c r="A63" t="s">
        <v>205</v>
      </c>
      <c r="B63" t="s">
        <v>212</v>
      </c>
      <c r="C63" t="s">
        <v>2</v>
      </c>
      <c r="D63">
        <v>0.05</v>
      </c>
      <c r="E63">
        <v>1000</v>
      </c>
      <c r="F63">
        <v>5.5763749987818301E-3</v>
      </c>
      <c r="G63" s="1" t="s">
        <v>74</v>
      </c>
      <c r="H63" s="1" t="s">
        <v>75</v>
      </c>
      <c r="I63">
        <v>4</v>
      </c>
      <c r="J63">
        <v>4</v>
      </c>
      <c r="K63" t="b">
        <f t="shared" si="0"/>
        <v>1</v>
      </c>
      <c r="L63" t="b">
        <f>NOT(E63=I63)</f>
        <v>1</v>
      </c>
      <c r="M63" t="b">
        <f t="shared" si="1"/>
        <v>0</v>
      </c>
    </row>
    <row r="64" spans="1:13" hidden="1" x14ac:dyDescent="0.2">
      <c r="A64" t="s">
        <v>205</v>
      </c>
      <c r="B64" t="s">
        <v>212</v>
      </c>
      <c r="C64" t="s">
        <v>4</v>
      </c>
      <c r="D64">
        <v>0.05</v>
      </c>
      <c r="E64">
        <v>1000</v>
      </c>
      <c r="F64" t="s">
        <v>76</v>
      </c>
      <c r="G64" t="s">
        <v>76</v>
      </c>
      <c r="H64" t="s">
        <v>76</v>
      </c>
      <c r="I64">
        <v>1000</v>
      </c>
      <c r="J64">
        <v>1000</v>
      </c>
      <c r="K64" t="b">
        <f t="shared" si="0"/>
        <v>1</v>
      </c>
      <c r="L64" t="b">
        <f>NOT(E64=I64)</f>
        <v>0</v>
      </c>
      <c r="M64" t="b">
        <f t="shared" si="1"/>
        <v>1</v>
      </c>
    </row>
    <row r="65" spans="1:13" hidden="1" x14ac:dyDescent="0.2">
      <c r="A65" t="s">
        <v>205</v>
      </c>
      <c r="B65" t="s">
        <v>212</v>
      </c>
      <c r="C65" t="s">
        <v>2</v>
      </c>
      <c r="D65">
        <v>0.1</v>
      </c>
      <c r="E65">
        <v>1000</v>
      </c>
      <c r="F65">
        <v>5.2669579745270303E-3</v>
      </c>
      <c r="G65">
        <v>2.32140000443905E-2</v>
      </c>
      <c r="H65">
        <v>2.84809580189175E-2</v>
      </c>
      <c r="I65">
        <v>1</v>
      </c>
      <c r="J65">
        <v>1</v>
      </c>
      <c r="K65" t="b">
        <f t="shared" si="0"/>
        <v>0</v>
      </c>
      <c r="L65" t="b">
        <f>NOT(E65=I65)</f>
        <v>1</v>
      </c>
      <c r="M65" t="b">
        <f t="shared" si="1"/>
        <v>0</v>
      </c>
    </row>
    <row r="66" spans="1:13" hidden="1" x14ac:dyDescent="0.2">
      <c r="A66" t="s">
        <v>205</v>
      </c>
      <c r="B66" t="s">
        <v>212</v>
      </c>
      <c r="C66" t="s">
        <v>4</v>
      </c>
      <c r="D66">
        <v>0.1</v>
      </c>
      <c r="E66">
        <v>1000</v>
      </c>
      <c r="F66" s="1" t="s">
        <v>66</v>
      </c>
      <c r="G66" s="1" t="s">
        <v>67</v>
      </c>
      <c r="H66" s="1" t="s">
        <v>68</v>
      </c>
      <c r="I66">
        <v>256</v>
      </c>
      <c r="J66">
        <v>1</v>
      </c>
      <c r="K66" t="b">
        <f t="shared" si="0"/>
        <v>0</v>
      </c>
      <c r="L66" t="b">
        <f>NOT(E66=I66)</f>
        <v>1</v>
      </c>
      <c r="M66" t="b">
        <f t="shared" si="1"/>
        <v>1</v>
      </c>
    </row>
    <row r="67" spans="1:13" hidden="1" x14ac:dyDescent="0.2">
      <c r="A67" t="s">
        <v>205</v>
      </c>
      <c r="B67" t="s">
        <v>213</v>
      </c>
      <c r="C67" t="s">
        <v>2</v>
      </c>
      <c r="D67">
        <v>0</v>
      </c>
      <c r="E67">
        <v>1000</v>
      </c>
      <c r="F67">
        <v>1.0138499957975E-2</v>
      </c>
      <c r="G67" s="1" t="s">
        <v>77</v>
      </c>
      <c r="H67" s="1" t="s">
        <v>78</v>
      </c>
      <c r="I67">
        <v>1</v>
      </c>
      <c r="J67">
        <v>1</v>
      </c>
      <c r="K67" t="b">
        <f t="shared" si="0"/>
        <v>0</v>
      </c>
      <c r="L67" t="b">
        <f>NOT(E67=I67)</f>
        <v>1</v>
      </c>
      <c r="M67" t="b">
        <f t="shared" si="1"/>
        <v>0</v>
      </c>
    </row>
    <row r="68" spans="1:13" x14ac:dyDescent="0.2">
      <c r="A68" t="s">
        <v>205</v>
      </c>
      <c r="B68" t="s">
        <v>213</v>
      </c>
      <c r="C68" t="s">
        <v>4</v>
      </c>
      <c r="D68">
        <v>0</v>
      </c>
      <c r="E68">
        <v>1000</v>
      </c>
      <c r="F68">
        <v>2.6155708008445799E-2</v>
      </c>
      <c r="G68" s="1" t="s">
        <v>79</v>
      </c>
      <c r="H68" s="1" t="s">
        <v>80</v>
      </c>
      <c r="I68">
        <v>256</v>
      </c>
      <c r="J68">
        <v>1</v>
      </c>
      <c r="K68" t="b">
        <f t="shared" si="0"/>
        <v>0</v>
      </c>
      <c r="L68" t="b">
        <f>NOT(E68=I68)</f>
        <v>1</v>
      </c>
      <c r="M68" t="b">
        <f t="shared" si="1"/>
        <v>0</v>
      </c>
    </row>
    <row r="69" spans="1:13" hidden="1" x14ac:dyDescent="0.2">
      <c r="A69" t="s">
        <v>205</v>
      </c>
      <c r="B69" t="s">
        <v>213</v>
      </c>
      <c r="C69" t="s">
        <v>2</v>
      </c>
      <c r="D69">
        <v>0.01</v>
      </c>
      <c r="E69">
        <v>1000</v>
      </c>
      <c r="F69" s="1" t="s">
        <v>81</v>
      </c>
      <c r="G69" s="1" t="s">
        <v>82</v>
      </c>
      <c r="H69" s="1" t="s">
        <v>83</v>
      </c>
      <c r="I69">
        <v>4</v>
      </c>
      <c r="J69">
        <v>4</v>
      </c>
      <c r="K69" t="b">
        <f t="shared" si="0"/>
        <v>1</v>
      </c>
      <c r="L69" t="b">
        <f>NOT(E69=I69)</f>
        <v>1</v>
      </c>
      <c r="M69" t="b">
        <f t="shared" si="1"/>
        <v>0</v>
      </c>
    </row>
    <row r="70" spans="1:13" x14ac:dyDescent="0.2">
      <c r="A70" t="s">
        <v>205</v>
      </c>
      <c r="B70" t="s">
        <v>213</v>
      </c>
      <c r="C70" t="s">
        <v>4</v>
      </c>
      <c r="D70">
        <v>0.01</v>
      </c>
      <c r="E70">
        <v>1000</v>
      </c>
      <c r="F70">
        <v>2.2622374992351899E-2</v>
      </c>
      <c r="G70" s="1" t="s">
        <v>84</v>
      </c>
      <c r="H70" s="1" t="s">
        <v>85</v>
      </c>
      <c r="I70">
        <v>1000</v>
      </c>
      <c r="J70">
        <v>4</v>
      </c>
      <c r="K70" t="b">
        <f t="shared" si="0"/>
        <v>1</v>
      </c>
      <c r="L70" t="b">
        <f>NOT(E70=I70)</f>
        <v>0</v>
      </c>
      <c r="M70" t="b">
        <f t="shared" si="1"/>
        <v>0</v>
      </c>
    </row>
    <row r="71" spans="1:13" hidden="1" x14ac:dyDescent="0.2">
      <c r="A71" t="s">
        <v>205</v>
      </c>
      <c r="B71" t="s">
        <v>213</v>
      </c>
      <c r="C71" t="s">
        <v>2</v>
      </c>
      <c r="D71">
        <v>0.05</v>
      </c>
      <c r="E71">
        <v>1000</v>
      </c>
      <c r="F71">
        <v>1.00420839735306E-2</v>
      </c>
      <c r="G71" s="1" t="s">
        <v>86</v>
      </c>
      <c r="H71" s="1" t="s">
        <v>87</v>
      </c>
      <c r="I71">
        <v>4</v>
      </c>
      <c r="J71">
        <v>4</v>
      </c>
      <c r="K71" t="b">
        <f t="shared" ref="K71:K134" si="2">J71&gt;1</f>
        <v>1</v>
      </c>
      <c r="L71" t="b">
        <f>NOT(E71=I71)</f>
        <v>1</v>
      </c>
      <c r="M71" t="b">
        <f t="shared" si="1"/>
        <v>0</v>
      </c>
    </row>
    <row r="72" spans="1:13" hidden="1" x14ac:dyDescent="0.2">
      <c r="A72" t="s">
        <v>205</v>
      </c>
      <c r="B72" t="s">
        <v>213</v>
      </c>
      <c r="C72" t="s">
        <v>4</v>
      </c>
      <c r="D72">
        <v>0.05</v>
      </c>
      <c r="E72">
        <v>1000</v>
      </c>
      <c r="F72" t="s">
        <v>76</v>
      </c>
      <c r="G72" t="s">
        <v>76</v>
      </c>
      <c r="H72" t="s">
        <v>76</v>
      </c>
      <c r="I72">
        <v>1000</v>
      </c>
      <c r="J72">
        <v>1000</v>
      </c>
      <c r="K72" t="b">
        <f t="shared" si="2"/>
        <v>1</v>
      </c>
      <c r="L72" t="b">
        <f>NOT(E72=I72)</f>
        <v>0</v>
      </c>
      <c r="M72" t="b">
        <f t="shared" si="1"/>
        <v>1</v>
      </c>
    </row>
    <row r="73" spans="1:13" hidden="1" x14ac:dyDescent="0.2">
      <c r="A73" t="s">
        <v>205</v>
      </c>
      <c r="B73" t="s">
        <v>213</v>
      </c>
      <c r="C73" t="s">
        <v>2</v>
      </c>
      <c r="D73">
        <v>0.1</v>
      </c>
      <c r="E73">
        <v>1000</v>
      </c>
      <c r="F73" s="1" t="s">
        <v>88</v>
      </c>
      <c r="G73">
        <v>2.0237667020410299E-2</v>
      </c>
      <c r="H73" s="1" t="s">
        <v>89</v>
      </c>
      <c r="I73">
        <v>7</v>
      </c>
      <c r="J73">
        <v>7</v>
      </c>
      <c r="K73" t="b">
        <f t="shared" si="2"/>
        <v>1</v>
      </c>
      <c r="L73" t="b">
        <f>NOT(E73=I73)</f>
        <v>1</v>
      </c>
      <c r="M73" t="b">
        <f t="shared" ref="M73:M134" si="3">E71=I71</f>
        <v>0</v>
      </c>
    </row>
    <row r="74" spans="1:13" hidden="1" x14ac:dyDescent="0.2">
      <c r="A74" t="s">
        <v>205</v>
      </c>
      <c r="B74" t="s">
        <v>213</v>
      </c>
      <c r="C74" t="s">
        <v>4</v>
      </c>
      <c r="D74">
        <v>0.1</v>
      </c>
      <c r="E74">
        <v>1000</v>
      </c>
      <c r="F74" t="s">
        <v>76</v>
      </c>
      <c r="G74" t="s">
        <v>76</v>
      </c>
      <c r="H74" t="s">
        <v>76</v>
      </c>
      <c r="I74">
        <v>1000</v>
      </c>
      <c r="J74">
        <v>1000</v>
      </c>
      <c r="K74" t="b">
        <f t="shared" si="2"/>
        <v>1</v>
      </c>
      <c r="L74" t="b">
        <f>NOT(E74=I74)</f>
        <v>0</v>
      </c>
      <c r="M74" t="b">
        <f t="shared" si="3"/>
        <v>1</v>
      </c>
    </row>
    <row r="75" spans="1:13" hidden="1" x14ac:dyDescent="0.2">
      <c r="A75" t="s">
        <v>205</v>
      </c>
      <c r="B75" t="s">
        <v>214</v>
      </c>
      <c r="C75" t="s">
        <v>2</v>
      </c>
      <c r="D75">
        <v>0</v>
      </c>
      <c r="E75">
        <v>1000</v>
      </c>
      <c r="F75" s="1" t="s">
        <v>90</v>
      </c>
      <c r="G75" s="1" t="s">
        <v>91</v>
      </c>
      <c r="H75">
        <v>3.2798041997011702E-2</v>
      </c>
      <c r="I75">
        <v>1</v>
      </c>
      <c r="J75">
        <v>1</v>
      </c>
      <c r="K75" t="b">
        <f t="shared" si="2"/>
        <v>0</v>
      </c>
      <c r="L75" t="b">
        <f>NOT(E75=I75)</f>
        <v>1</v>
      </c>
      <c r="M75" t="b">
        <f t="shared" si="3"/>
        <v>0</v>
      </c>
    </row>
    <row r="76" spans="1:13" hidden="1" x14ac:dyDescent="0.2">
      <c r="A76" t="s">
        <v>205</v>
      </c>
      <c r="B76" t="s">
        <v>214</v>
      </c>
      <c r="C76" t="s">
        <v>4</v>
      </c>
      <c r="D76">
        <v>0</v>
      </c>
      <c r="E76">
        <v>1000</v>
      </c>
      <c r="F76" s="1" t="s">
        <v>92</v>
      </c>
      <c r="G76" s="1" t="s">
        <v>93</v>
      </c>
      <c r="H76" s="1" t="s">
        <v>94</v>
      </c>
      <c r="I76">
        <v>256</v>
      </c>
      <c r="J76">
        <v>1</v>
      </c>
      <c r="K76" t="b">
        <f t="shared" si="2"/>
        <v>0</v>
      </c>
      <c r="L76" t="b">
        <f>NOT(E76=I76)</f>
        <v>1</v>
      </c>
      <c r="M76" t="b">
        <f t="shared" si="3"/>
        <v>1</v>
      </c>
    </row>
    <row r="77" spans="1:13" hidden="1" x14ac:dyDescent="0.2">
      <c r="A77" t="s">
        <v>205</v>
      </c>
      <c r="B77" t="s">
        <v>214</v>
      </c>
      <c r="C77" t="s">
        <v>2</v>
      </c>
      <c r="D77">
        <v>0.01</v>
      </c>
      <c r="E77">
        <v>1000</v>
      </c>
      <c r="F77" s="1" t="s">
        <v>95</v>
      </c>
      <c r="G77">
        <v>2.3155208036769102E-2</v>
      </c>
      <c r="H77" s="1" t="s">
        <v>96</v>
      </c>
      <c r="I77">
        <v>4</v>
      </c>
      <c r="J77">
        <v>4</v>
      </c>
      <c r="K77" t="b">
        <f t="shared" si="2"/>
        <v>1</v>
      </c>
      <c r="L77" t="b">
        <f>NOT(E77=I77)</f>
        <v>1</v>
      </c>
      <c r="M77" t="b">
        <f t="shared" si="3"/>
        <v>0</v>
      </c>
    </row>
    <row r="78" spans="1:13" x14ac:dyDescent="0.2">
      <c r="A78" t="s">
        <v>205</v>
      </c>
      <c r="B78" t="s">
        <v>214</v>
      </c>
      <c r="C78" t="s">
        <v>4</v>
      </c>
      <c r="D78">
        <v>0.01</v>
      </c>
      <c r="E78">
        <v>1000</v>
      </c>
      <c r="F78" s="1" t="s">
        <v>97</v>
      </c>
      <c r="G78" s="1" t="s">
        <v>98</v>
      </c>
      <c r="H78" s="1" t="s">
        <v>99</v>
      </c>
      <c r="I78">
        <v>1000</v>
      </c>
      <c r="J78">
        <v>4</v>
      </c>
      <c r="K78" t="b">
        <f t="shared" si="2"/>
        <v>1</v>
      </c>
      <c r="L78" t="b">
        <f>NOT(E78=I78)</f>
        <v>0</v>
      </c>
      <c r="M78" t="b">
        <f t="shared" si="3"/>
        <v>0</v>
      </c>
    </row>
    <row r="79" spans="1:13" hidden="1" x14ac:dyDescent="0.2">
      <c r="A79" t="s">
        <v>205</v>
      </c>
      <c r="B79" t="s">
        <v>214</v>
      </c>
      <c r="C79" t="s">
        <v>2</v>
      </c>
      <c r="D79">
        <v>0.05</v>
      </c>
      <c r="E79">
        <v>1000</v>
      </c>
      <c r="F79">
        <v>3.65502919885329E-2</v>
      </c>
      <c r="G79">
        <v>2.2601999982725801E-2</v>
      </c>
      <c r="H79">
        <v>5.9152291971258798E-2</v>
      </c>
      <c r="I79">
        <v>4</v>
      </c>
      <c r="J79">
        <v>4</v>
      </c>
      <c r="K79" t="b">
        <f t="shared" si="2"/>
        <v>1</v>
      </c>
      <c r="L79" t="b">
        <f>NOT(E79=I79)</f>
        <v>1</v>
      </c>
      <c r="M79" t="b">
        <f t="shared" si="3"/>
        <v>0</v>
      </c>
    </row>
    <row r="80" spans="1:13" hidden="1" x14ac:dyDescent="0.2">
      <c r="A80" t="s">
        <v>205</v>
      </c>
      <c r="B80" t="s">
        <v>214</v>
      </c>
      <c r="C80" t="s">
        <v>4</v>
      </c>
      <c r="D80">
        <v>0.05</v>
      </c>
      <c r="E80">
        <v>1000</v>
      </c>
      <c r="F80" t="s">
        <v>76</v>
      </c>
      <c r="G80" t="s">
        <v>76</v>
      </c>
      <c r="H80" t="s">
        <v>76</v>
      </c>
      <c r="I80">
        <v>1000</v>
      </c>
      <c r="J80">
        <v>1000</v>
      </c>
      <c r="K80" t="b">
        <f t="shared" si="2"/>
        <v>1</v>
      </c>
      <c r="L80" t="b">
        <f>NOT(E80=I80)</f>
        <v>0</v>
      </c>
      <c r="M80" t="b">
        <f t="shared" si="3"/>
        <v>1</v>
      </c>
    </row>
    <row r="81" spans="1:13" hidden="1" x14ac:dyDescent="0.2">
      <c r="A81" t="s">
        <v>205</v>
      </c>
      <c r="B81" t="s">
        <v>214</v>
      </c>
      <c r="C81" t="s">
        <v>2</v>
      </c>
      <c r="D81">
        <v>0.1</v>
      </c>
      <c r="E81">
        <v>1000</v>
      </c>
      <c r="F81" s="1" t="s">
        <v>100</v>
      </c>
      <c r="G81" s="1" t="s">
        <v>101</v>
      </c>
      <c r="H81" s="1" t="s">
        <v>102</v>
      </c>
      <c r="I81">
        <v>7</v>
      </c>
      <c r="J81">
        <v>7</v>
      </c>
      <c r="K81" t="b">
        <f t="shared" si="2"/>
        <v>1</v>
      </c>
      <c r="L81" t="b">
        <f>NOT(E81=I81)</f>
        <v>1</v>
      </c>
      <c r="M81" t="b">
        <f t="shared" si="3"/>
        <v>0</v>
      </c>
    </row>
    <row r="82" spans="1:13" hidden="1" x14ac:dyDescent="0.2">
      <c r="A82" t="s">
        <v>205</v>
      </c>
      <c r="B82" t="s">
        <v>214</v>
      </c>
      <c r="C82" t="s">
        <v>4</v>
      </c>
      <c r="D82">
        <v>0.1</v>
      </c>
      <c r="E82">
        <v>1000</v>
      </c>
      <c r="F82" t="s">
        <v>76</v>
      </c>
      <c r="G82" t="s">
        <v>76</v>
      </c>
      <c r="H82" t="s">
        <v>76</v>
      </c>
      <c r="I82">
        <v>1000</v>
      </c>
      <c r="J82">
        <v>1000</v>
      </c>
      <c r="K82" t="b">
        <f t="shared" si="2"/>
        <v>1</v>
      </c>
      <c r="L82" t="b">
        <f>NOT(E82=I82)</f>
        <v>0</v>
      </c>
      <c r="M82" t="b">
        <f t="shared" si="3"/>
        <v>1</v>
      </c>
    </row>
    <row r="83" spans="1:13" hidden="1" x14ac:dyDescent="0.2"/>
    <row r="84" spans="1:13" hidden="1" x14ac:dyDescent="0.2">
      <c r="A84" t="s">
        <v>208</v>
      </c>
      <c r="B84" t="s">
        <v>212</v>
      </c>
      <c r="C84" t="s">
        <v>2</v>
      </c>
      <c r="D84">
        <v>0</v>
      </c>
      <c r="E84">
        <v>1000</v>
      </c>
      <c r="F84">
        <v>5.3117080242372997E-3</v>
      </c>
      <c r="G84">
        <v>4.7650958003941903E-2</v>
      </c>
      <c r="H84">
        <v>5.2962666028179201E-2</v>
      </c>
      <c r="I84">
        <v>1</v>
      </c>
      <c r="J84">
        <v>1</v>
      </c>
      <c r="K84" t="b">
        <f t="shared" si="2"/>
        <v>0</v>
      </c>
      <c r="L84" t="b">
        <f>NOT(E84=I84)</f>
        <v>1</v>
      </c>
      <c r="M84" t="b">
        <f>FALSE</f>
        <v>0</v>
      </c>
    </row>
    <row r="85" spans="1:13" x14ac:dyDescent="0.2">
      <c r="A85" t="s">
        <v>208</v>
      </c>
      <c r="B85" t="s">
        <v>212</v>
      </c>
      <c r="C85" t="s">
        <v>4</v>
      </c>
      <c r="D85">
        <v>0</v>
      </c>
      <c r="E85">
        <v>1000</v>
      </c>
      <c r="F85" s="1" t="s">
        <v>104</v>
      </c>
      <c r="G85">
        <v>2.1388375025708201E-2</v>
      </c>
      <c r="H85" s="1" t="s">
        <v>105</v>
      </c>
      <c r="I85">
        <v>4</v>
      </c>
      <c r="J85">
        <v>1</v>
      </c>
      <c r="K85" t="b">
        <f t="shared" si="2"/>
        <v>0</v>
      </c>
      <c r="L85" t="b">
        <f>NOT(E85=I85)</f>
        <v>1</v>
      </c>
      <c r="M85" t="b">
        <f>FALSE</f>
        <v>0</v>
      </c>
    </row>
    <row r="86" spans="1:13" hidden="1" x14ac:dyDescent="0.2">
      <c r="A86" t="s">
        <v>208</v>
      </c>
      <c r="B86" t="s">
        <v>212</v>
      </c>
      <c r="C86" t="s">
        <v>2</v>
      </c>
      <c r="D86">
        <v>0.01</v>
      </c>
      <c r="E86">
        <v>1000</v>
      </c>
      <c r="F86">
        <v>5.31670800410211E-3</v>
      </c>
      <c r="G86" s="1" t="s">
        <v>106</v>
      </c>
      <c r="H86" s="1" t="s">
        <v>107</v>
      </c>
      <c r="I86">
        <v>1</v>
      </c>
      <c r="J86">
        <v>1</v>
      </c>
      <c r="K86" t="b">
        <f t="shared" si="2"/>
        <v>0</v>
      </c>
      <c r="L86" t="b">
        <f>NOT(E86=I86)</f>
        <v>1</v>
      </c>
      <c r="M86" t="b">
        <f t="shared" si="3"/>
        <v>0</v>
      </c>
    </row>
    <row r="87" spans="1:13" x14ac:dyDescent="0.2">
      <c r="A87" t="s">
        <v>208</v>
      </c>
      <c r="B87" t="s">
        <v>212</v>
      </c>
      <c r="C87" t="s">
        <v>4</v>
      </c>
      <c r="D87">
        <v>0.01</v>
      </c>
      <c r="E87">
        <v>1000</v>
      </c>
      <c r="F87" s="1" t="s">
        <v>108</v>
      </c>
      <c r="G87">
        <v>1.7285458976402799E-2</v>
      </c>
      <c r="H87">
        <v>3.2306583947502E-2</v>
      </c>
      <c r="I87">
        <v>4</v>
      </c>
      <c r="J87">
        <v>1</v>
      </c>
      <c r="K87" t="b">
        <f t="shared" si="2"/>
        <v>0</v>
      </c>
      <c r="L87" t="b">
        <f>NOT(E87=I87)</f>
        <v>1</v>
      </c>
      <c r="M87" t="b">
        <f t="shared" si="3"/>
        <v>0</v>
      </c>
    </row>
    <row r="88" spans="1:13" hidden="1" x14ac:dyDescent="0.2">
      <c r="A88" t="s">
        <v>208</v>
      </c>
      <c r="B88" t="s">
        <v>212</v>
      </c>
      <c r="C88" t="s">
        <v>2</v>
      </c>
      <c r="D88">
        <v>0.05</v>
      </c>
      <c r="E88">
        <v>1000</v>
      </c>
      <c r="F88">
        <v>4.8483330174349196E-3</v>
      </c>
      <c r="G88">
        <v>1.10205829842016E-2</v>
      </c>
      <c r="H88" s="1" t="s">
        <v>109</v>
      </c>
      <c r="I88">
        <v>1</v>
      </c>
      <c r="J88">
        <v>1</v>
      </c>
      <c r="K88" t="b">
        <f t="shared" si="2"/>
        <v>0</v>
      </c>
      <c r="L88" t="b">
        <f>NOT(E88=I88)</f>
        <v>1</v>
      </c>
      <c r="M88" t="b">
        <f t="shared" si="3"/>
        <v>0</v>
      </c>
    </row>
    <row r="89" spans="1:13" x14ac:dyDescent="0.2">
      <c r="A89" t="s">
        <v>208</v>
      </c>
      <c r="B89" t="s">
        <v>212</v>
      </c>
      <c r="C89" t="s">
        <v>4</v>
      </c>
      <c r="D89">
        <v>0.05</v>
      </c>
      <c r="E89">
        <v>1000</v>
      </c>
      <c r="F89" s="1" t="s">
        <v>110</v>
      </c>
      <c r="G89" s="1" t="s">
        <v>111</v>
      </c>
      <c r="H89" s="1" t="s">
        <v>112</v>
      </c>
      <c r="I89">
        <v>4</v>
      </c>
      <c r="J89">
        <v>1</v>
      </c>
      <c r="K89" t="b">
        <f t="shared" si="2"/>
        <v>0</v>
      </c>
      <c r="L89" t="b">
        <f>NOT(E89=I89)</f>
        <v>1</v>
      </c>
      <c r="M89" t="b">
        <f t="shared" si="3"/>
        <v>0</v>
      </c>
    </row>
    <row r="90" spans="1:13" hidden="1" x14ac:dyDescent="0.2">
      <c r="A90" t="s">
        <v>208</v>
      </c>
      <c r="B90" t="s">
        <v>212</v>
      </c>
      <c r="C90" t="s">
        <v>2</v>
      </c>
      <c r="D90">
        <v>0.1</v>
      </c>
      <c r="E90">
        <v>1000</v>
      </c>
      <c r="F90">
        <v>4.9992079730145599E-3</v>
      </c>
      <c r="G90" s="1" t="s">
        <v>113</v>
      </c>
      <c r="H90" s="1" t="s">
        <v>114</v>
      </c>
      <c r="I90">
        <v>1</v>
      </c>
      <c r="J90">
        <v>1</v>
      </c>
      <c r="K90" t="b">
        <f t="shared" si="2"/>
        <v>0</v>
      </c>
      <c r="L90" t="b">
        <f>NOT(E90=I90)</f>
        <v>1</v>
      </c>
      <c r="M90" t="b">
        <f t="shared" si="3"/>
        <v>0</v>
      </c>
    </row>
    <row r="91" spans="1:13" x14ac:dyDescent="0.2">
      <c r="A91" t="s">
        <v>208</v>
      </c>
      <c r="B91" t="s">
        <v>212</v>
      </c>
      <c r="C91" t="s">
        <v>4</v>
      </c>
      <c r="D91">
        <v>0.1</v>
      </c>
      <c r="E91">
        <v>1000</v>
      </c>
      <c r="F91" s="1" t="s">
        <v>115</v>
      </c>
      <c r="G91" s="1" t="s">
        <v>116</v>
      </c>
      <c r="H91" s="1" t="s">
        <v>117</v>
      </c>
      <c r="I91">
        <v>4</v>
      </c>
      <c r="J91">
        <v>1</v>
      </c>
      <c r="K91" t="b">
        <f t="shared" si="2"/>
        <v>0</v>
      </c>
      <c r="L91" t="b">
        <f>NOT(E91=I91)</f>
        <v>1</v>
      </c>
      <c r="M91" t="b">
        <f t="shared" si="3"/>
        <v>0</v>
      </c>
    </row>
    <row r="92" spans="1:13" hidden="1" x14ac:dyDescent="0.2">
      <c r="A92" t="s">
        <v>208</v>
      </c>
      <c r="B92" t="s">
        <v>213</v>
      </c>
      <c r="C92" t="s">
        <v>2</v>
      </c>
      <c r="D92">
        <v>0</v>
      </c>
      <c r="E92">
        <v>1000</v>
      </c>
      <c r="F92">
        <v>9.4042079872451705E-3</v>
      </c>
      <c r="G92">
        <v>2.56857500062324E-2</v>
      </c>
      <c r="H92">
        <v>3.50899579934775E-2</v>
      </c>
      <c r="I92">
        <v>1</v>
      </c>
      <c r="J92">
        <v>1</v>
      </c>
      <c r="K92" t="b">
        <f t="shared" si="2"/>
        <v>0</v>
      </c>
      <c r="L92" t="b">
        <f>NOT(E92=I92)</f>
        <v>1</v>
      </c>
      <c r="M92" t="b">
        <f t="shared" si="3"/>
        <v>0</v>
      </c>
    </row>
    <row r="93" spans="1:13" x14ac:dyDescent="0.2">
      <c r="A93" t="s">
        <v>208</v>
      </c>
      <c r="B93" t="s">
        <v>213</v>
      </c>
      <c r="C93" t="s">
        <v>4</v>
      </c>
      <c r="D93">
        <v>0</v>
      </c>
      <c r="E93">
        <v>1000</v>
      </c>
      <c r="F93">
        <v>2.4431541969533999E-2</v>
      </c>
      <c r="G93" s="1" t="s">
        <v>118</v>
      </c>
      <c r="H93" s="1" t="s">
        <v>119</v>
      </c>
      <c r="I93">
        <v>4</v>
      </c>
      <c r="J93">
        <v>1</v>
      </c>
      <c r="K93" t="b">
        <f t="shared" si="2"/>
        <v>0</v>
      </c>
      <c r="L93" t="b">
        <f>NOT(E93=I93)</f>
        <v>1</v>
      </c>
      <c r="M93" t="b">
        <f t="shared" si="3"/>
        <v>0</v>
      </c>
    </row>
    <row r="94" spans="1:13" hidden="1" x14ac:dyDescent="0.2">
      <c r="A94" t="s">
        <v>208</v>
      </c>
      <c r="B94" t="s">
        <v>213</v>
      </c>
      <c r="C94" t="s">
        <v>2</v>
      </c>
      <c r="D94">
        <v>0.01</v>
      </c>
      <c r="E94">
        <v>1000</v>
      </c>
      <c r="F94">
        <v>9.1045839944854292E-3</v>
      </c>
      <c r="G94">
        <v>1.60431250114925E-2</v>
      </c>
      <c r="H94">
        <v>2.5147709005977899E-2</v>
      </c>
      <c r="I94">
        <v>1</v>
      </c>
      <c r="J94">
        <v>1</v>
      </c>
      <c r="K94" t="b">
        <f t="shared" si="2"/>
        <v>0</v>
      </c>
      <c r="L94" t="b">
        <f>NOT(E94=I94)</f>
        <v>1</v>
      </c>
      <c r="M94" t="b">
        <f t="shared" si="3"/>
        <v>0</v>
      </c>
    </row>
    <row r="95" spans="1:13" x14ac:dyDescent="0.2">
      <c r="A95" t="s">
        <v>208</v>
      </c>
      <c r="B95" t="s">
        <v>213</v>
      </c>
      <c r="C95" t="s">
        <v>4</v>
      </c>
      <c r="D95">
        <v>0.01</v>
      </c>
      <c r="E95">
        <v>1000</v>
      </c>
      <c r="F95" s="1" t="s">
        <v>120</v>
      </c>
      <c r="G95" s="1" t="s">
        <v>121</v>
      </c>
      <c r="H95">
        <v>4.60642069811001E-2</v>
      </c>
      <c r="I95">
        <v>4</v>
      </c>
      <c r="J95">
        <v>1</v>
      </c>
      <c r="K95" t="b">
        <f t="shared" si="2"/>
        <v>0</v>
      </c>
      <c r="L95" t="b">
        <f>NOT(E95=I95)</f>
        <v>1</v>
      </c>
      <c r="M95" t="b">
        <f t="shared" si="3"/>
        <v>0</v>
      </c>
    </row>
    <row r="96" spans="1:13" hidden="1" x14ac:dyDescent="0.2">
      <c r="A96" t="s">
        <v>208</v>
      </c>
      <c r="B96" t="s">
        <v>213</v>
      </c>
      <c r="C96" t="s">
        <v>2</v>
      </c>
      <c r="D96">
        <v>0.05</v>
      </c>
      <c r="E96">
        <v>1000</v>
      </c>
      <c r="F96">
        <v>9.5286670257337391E-3</v>
      </c>
      <c r="G96" s="1" t="s">
        <v>122</v>
      </c>
      <c r="H96" s="1" t="s">
        <v>123</v>
      </c>
      <c r="I96">
        <v>1</v>
      </c>
      <c r="J96">
        <v>1</v>
      </c>
      <c r="K96" t="b">
        <f t="shared" si="2"/>
        <v>0</v>
      </c>
      <c r="L96" t="b">
        <f>NOT(E96=I96)</f>
        <v>1</v>
      </c>
      <c r="M96" t="b">
        <f t="shared" si="3"/>
        <v>0</v>
      </c>
    </row>
    <row r="97" spans="1:13" x14ac:dyDescent="0.2">
      <c r="A97" t="s">
        <v>208</v>
      </c>
      <c r="B97" t="s">
        <v>213</v>
      </c>
      <c r="C97" t="s">
        <v>4</v>
      </c>
      <c r="D97">
        <v>0.05</v>
      </c>
      <c r="E97">
        <v>1000</v>
      </c>
      <c r="F97" s="1" t="s">
        <v>124</v>
      </c>
      <c r="G97" s="1" t="s">
        <v>125</v>
      </c>
      <c r="H97" s="1" t="s">
        <v>126</v>
      </c>
      <c r="I97">
        <v>4</v>
      </c>
      <c r="J97">
        <v>1</v>
      </c>
      <c r="K97" t="b">
        <f t="shared" si="2"/>
        <v>0</v>
      </c>
      <c r="L97" t="b">
        <f>NOT(E97=I97)</f>
        <v>1</v>
      </c>
      <c r="M97" t="b">
        <f t="shared" si="3"/>
        <v>0</v>
      </c>
    </row>
    <row r="98" spans="1:13" hidden="1" x14ac:dyDescent="0.2">
      <c r="A98" t="s">
        <v>208</v>
      </c>
      <c r="B98" t="s">
        <v>213</v>
      </c>
      <c r="C98" t="s">
        <v>2</v>
      </c>
      <c r="D98">
        <v>0.1</v>
      </c>
      <c r="E98">
        <v>1000</v>
      </c>
      <c r="F98">
        <v>9.1548750060610404E-3</v>
      </c>
      <c r="G98" s="1" t="s">
        <v>127</v>
      </c>
      <c r="H98" s="1" t="s">
        <v>128</v>
      </c>
      <c r="I98">
        <v>1</v>
      </c>
      <c r="J98">
        <v>1</v>
      </c>
      <c r="K98" t="b">
        <f t="shared" si="2"/>
        <v>0</v>
      </c>
      <c r="L98" t="b">
        <f>NOT(E98=I98)</f>
        <v>1</v>
      </c>
      <c r="M98" t="b">
        <f t="shared" si="3"/>
        <v>0</v>
      </c>
    </row>
    <row r="99" spans="1:13" x14ac:dyDescent="0.2">
      <c r="A99" t="s">
        <v>208</v>
      </c>
      <c r="B99" t="s">
        <v>213</v>
      </c>
      <c r="C99" t="s">
        <v>4</v>
      </c>
      <c r="D99">
        <v>0.1</v>
      </c>
      <c r="E99">
        <v>1000</v>
      </c>
      <c r="F99">
        <v>2.4756041995715301E-2</v>
      </c>
      <c r="G99" s="1" t="s">
        <v>129</v>
      </c>
      <c r="H99" s="1" t="s">
        <v>130</v>
      </c>
      <c r="I99">
        <v>4</v>
      </c>
      <c r="J99">
        <v>1</v>
      </c>
      <c r="K99" t="b">
        <f t="shared" si="2"/>
        <v>0</v>
      </c>
      <c r="L99" t="b">
        <f>NOT(E99=I99)</f>
        <v>1</v>
      </c>
      <c r="M99" t="b">
        <f t="shared" si="3"/>
        <v>0</v>
      </c>
    </row>
    <row r="100" spans="1:13" hidden="1" x14ac:dyDescent="0.2">
      <c r="A100" t="s">
        <v>208</v>
      </c>
      <c r="B100" t="s">
        <v>214</v>
      </c>
      <c r="C100" t="s">
        <v>2</v>
      </c>
      <c r="D100">
        <v>0</v>
      </c>
      <c r="E100">
        <v>1000</v>
      </c>
      <c r="F100">
        <v>1.38621669611893E-2</v>
      </c>
      <c r="G100" s="1" t="s">
        <v>131</v>
      </c>
      <c r="H100" s="1" t="s">
        <v>132</v>
      </c>
      <c r="I100">
        <v>1</v>
      </c>
      <c r="J100">
        <v>1</v>
      </c>
      <c r="K100" t="b">
        <f t="shared" si="2"/>
        <v>0</v>
      </c>
      <c r="L100" t="b">
        <f>NOT(E100=I100)</f>
        <v>1</v>
      </c>
      <c r="M100" t="b">
        <f t="shared" si="3"/>
        <v>0</v>
      </c>
    </row>
    <row r="101" spans="1:13" x14ac:dyDescent="0.2">
      <c r="A101" t="s">
        <v>208</v>
      </c>
      <c r="B101" t="s">
        <v>214</v>
      </c>
      <c r="C101" t="s">
        <v>4</v>
      </c>
      <c r="D101">
        <v>0</v>
      </c>
      <c r="E101">
        <v>1000</v>
      </c>
      <c r="F101" s="1" t="s">
        <v>133</v>
      </c>
      <c r="G101" s="1" t="s">
        <v>134</v>
      </c>
      <c r="H101">
        <v>5.8524082938674803E-2</v>
      </c>
      <c r="I101">
        <v>4</v>
      </c>
      <c r="J101">
        <v>1</v>
      </c>
      <c r="K101" t="b">
        <f t="shared" si="2"/>
        <v>0</v>
      </c>
      <c r="L101" t="b">
        <f>NOT(E101=I101)</f>
        <v>1</v>
      </c>
      <c r="M101" t="b">
        <f t="shared" si="3"/>
        <v>0</v>
      </c>
    </row>
    <row r="102" spans="1:13" hidden="1" x14ac:dyDescent="0.2">
      <c r="A102" t="s">
        <v>208</v>
      </c>
      <c r="B102" t="s">
        <v>214</v>
      </c>
      <c r="C102" t="s">
        <v>2</v>
      </c>
      <c r="D102">
        <v>0.01</v>
      </c>
      <c r="E102">
        <v>1000</v>
      </c>
      <c r="F102" s="1" t="s">
        <v>135</v>
      </c>
      <c r="G102" s="1" t="s">
        <v>136</v>
      </c>
      <c r="H102">
        <v>3.3686374081298702E-2</v>
      </c>
      <c r="I102">
        <v>1</v>
      </c>
      <c r="J102">
        <v>1</v>
      </c>
      <c r="K102" t="b">
        <f t="shared" si="2"/>
        <v>0</v>
      </c>
      <c r="L102" t="b">
        <f>NOT(E102=I102)</f>
        <v>1</v>
      </c>
      <c r="M102" t="b">
        <f t="shared" si="3"/>
        <v>0</v>
      </c>
    </row>
    <row r="103" spans="1:13" x14ac:dyDescent="0.2">
      <c r="A103" t="s">
        <v>208</v>
      </c>
      <c r="B103" t="s">
        <v>214</v>
      </c>
      <c r="C103" t="s">
        <v>4</v>
      </c>
      <c r="D103">
        <v>0.01</v>
      </c>
      <c r="E103">
        <v>1000</v>
      </c>
      <c r="F103">
        <v>3.23069579899311E-2</v>
      </c>
      <c r="G103" s="1" t="s">
        <v>137</v>
      </c>
      <c r="H103">
        <v>5.5805123993195503E-2</v>
      </c>
      <c r="I103">
        <v>4</v>
      </c>
      <c r="J103">
        <v>1</v>
      </c>
      <c r="K103" t="b">
        <f t="shared" si="2"/>
        <v>0</v>
      </c>
      <c r="L103" t="b">
        <f>NOT(E103=I103)</f>
        <v>1</v>
      </c>
      <c r="M103" t="b">
        <f t="shared" si="3"/>
        <v>0</v>
      </c>
    </row>
    <row r="104" spans="1:13" hidden="1" x14ac:dyDescent="0.2">
      <c r="A104" t="s">
        <v>208</v>
      </c>
      <c r="B104" t="s">
        <v>214</v>
      </c>
      <c r="C104" t="s">
        <v>2</v>
      </c>
      <c r="D104">
        <v>0.05</v>
      </c>
      <c r="E104">
        <v>1000</v>
      </c>
      <c r="F104">
        <v>1.40741250361315E-2</v>
      </c>
      <c r="G104" s="1" t="s">
        <v>138</v>
      </c>
      <c r="H104">
        <v>3.4581042069476098E-2</v>
      </c>
      <c r="I104">
        <v>1</v>
      </c>
      <c r="J104">
        <v>1</v>
      </c>
      <c r="K104" t="b">
        <f t="shared" si="2"/>
        <v>0</v>
      </c>
      <c r="L104" t="b">
        <f>NOT(E104=I104)</f>
        <v>1</v>
      </c>
      <c r="M104" t="b">
        <f t="shared" si="3"/>
        <v>0</v>
      </c>
    </row>
    <row r="105" spans="1:13" x14ac:dyDescent="0.2">
      <c r="A105" t="s">
        <v>208</v>
      </c>
      <c r="B105" t="s">
        <v>214</v>
      </c>
      <c r="C105" t="s">
        <v>4</v>
      </c>
      <c r="D105">
        <v>0.05</v>
      </c>
      <c r="E105">
        <v>1000</v>
      </c>
      <c r="F105">
        <v>3.5036000015679698E-2</v>
      </c>
      <c r="G105" s="1" t="s">
        <v>139</v>
      </c>
      <c r="H105">
        <v>5.9052750002592802E-2</v>
      </c>
      <c r="I105">
        <v>4</v>
      </c>
      <c r="J105">
        <v>1</v>
      </c>
      <c r="K105" t="b">
        <f t="shared" si="2"/>
        <v>0</v>
      </c>
      <c r="L105" t="b">
        <f>NOT(E105=I105)</f>
        <v>1</v>
      </c>
      <c r="M105" t="b">
        <f t="shared" si="3"/>
        <v>0</v>
      </c>
    </row>
    <row r="106" spans="1:13" hidden="1" x14ac:dyDescent="0.2">
      <c r="A106" t="s">
        <v>208</v>
      </c>
      <c r="B106" t="s">
        <v>214</v>
      </c>
      <c r="C106" t="s">
        <v>2</v>
      </c>
      <c r="D106">
        <v>0.1</v>
      </c>
      <c r="E106">
        <v>1000</v>
      </c>
      <c r="F106" s="1" t="s">
        <v>140</v>
      </c>
      <c r="G106">
        <v>1.9861750013660601E-2</v>
      </c>
      <c r="H106">
        <v>3.4648125001695E-2</v>
      </c>
      <c r="I106">
        <v>1</v>
      </c>
      <c r="J106">
        <v>1</v>
      </c>
      <c r="K106" t="b">
        <f t="shared" si="2"/>
        <v>0</v>
      </c>
      <c r="L106" t="b">
        <f>NOT(E106=I106)</f>
        <v>1</v>
      </c>
      <c r="M106" t="b">
        <f t="shared" si="3"/>
        <v>0</v>
      </c>
    </row>
    <row r="107" spans="1:13" x14ac:dyDescent="0.2">
      <c r="A107" t="s">
        <v>208</v>
      </c>
      <c r="B107" t="s">
        <v>214</v>
      </c>
      <c r="C107" t="s">
        <v>4</v>
      </c>
      <c r="D107">
        <v>0.1</v>
      </c>
      <c r="E107">
        <v>1000</v>
      </c>
      <c r="F107" s="1" t="s">
        <v>141</v>
      </c>
      <c r="G107">
        <v>2.42085410282015E-2</v>
      </c>
      <c r="H107" s="1" t="s">
        <v>142</v>
      </c>
      <c r="I107">
        <v>4</v>
      </c>
      <c r="J107">
        <v>1</v>
      </c>
      <c r="K107" t="b">
        <f t="shared" si="2"/>
        <v>0</v>
      </c>
      <c r="L107" t="b">
        <f>NOT(E107=I107)</f>
        <v>1</v>
      </c>
      <c r="M107" t="b">
        <f t="shared" si="3"/>
        <v>0</v>
      </c>
    </row>
    <row r="108" spans="1:13" hidden="1" x14ac:dyDescent="0.2"/>
    <row r="109" spans="1:13" hidden="1" x14ac:dyDescent="0.2"/>
    <row r="110" spans="1:13" hidden="1" x14ac:dyDescent="0.2"/>
    <row r="111" spans="1:13" hidden="1" x14ac:dyDescent="0.2">
      <c r="A111" t="s">
        <v>209</v>
      </c>
      <c r="B111" t="s">
        <v>212</v>
      </c>
      <c r="C111" t="s">
        <v>2</v>
      </c>
      <c r="D111">
        <v>0</v>
      </c>
      <c r="E111">
        <v>1000</v>
      </c>
      <c r="F111">
        <v>7.0227080141194104E-3</v>
      </c>
      <c r="G111">
        <v>2.16234590043313E-2</v>
      </c>
      <c r="H111" s="1" t="s">
        <v>144</v>
      </c>
      <c r="I111">
        <v>1</v>
      </c>
      <c r="J111">
        <v>1</v>
      </c>
      <c r="K111" t="b">
        <f t="shared" si="2"/>
        <v>0</v>
      </c>
      <c r="L111" t="b">
        <f>NOT(E111=I111)</f>
        <v>1</v>
      </c>
      <c r="M111" t="b">
        <f>FALSE</f>
        <v>0</v>
      </c>
    </row>
    <row r="112" spans="1:13" x14ac:dyDescent="0.2">
      <c r="A112" t="s">
        <v>209</v>
      </c>
      <c r="B112" t="s">
        <v>212</v>
      </c>
      <c r="C112" t="s">
        <v>4</v>
      </c>
      <c r="D112">
        <v>0</v>
      </c>
      <c r="E112">
        <v>1000</v>
      </c>
      <c r="F112" s="1" t="s">
        <v>145</v>
      </c>
      <c r="G112" s="1" t="s">
        <v>146</v>
      </c>
      <c r="H112" s="1" t="s">
        <v>147</v>
      </c>
      <c r="I112">
        <v>512</v>
      </c>
      <c r="J112">
        <v>1</v>
      </c>
      <c r="K112" t="b">
        <f t="shared" si="2"/>
        <v>0</v>
      </c>
      <c r="L112" t="b">
        <f>NOT(E112=I112)</f>
        <v>1</v>
      </c>
      <c r="M112" t="b">
        <f>FALSE</f>
        <v>0</v>
      </c>
    </row>
    <row r="113" spans="1:13" hidden="1" x14ac:dyDescent="0.2">
      <c r="A113" t="s">
        <v>209</v>
      </c>
      <c r="B113" t="s">
        <v>212</v>
      </c>
      <c r="C113" t="s">
        <v>2</v>
      </c>
      <c r="D113">
        <v>0.01</v>
      </c>
      <c r="E113">
        <v>1000</v>
      </c>
      <c r="F113">
        <v>7.2398750344291303E-3</v>
      </c>
      <c r="G113" s="1" t="s">
        <v>148</v>
      </c>
      <c r="H113" s="1" t="s">
        <v>149</v>
      </c>
      <c r="I113">
        <v>4</v>
      </c>
      <c r="J113">
        <v>4</v>
      </c>
      <c r="K113" t="b">
        <f t="shared" si="2"/>
        <v>1</v>
      </c>
      <c r="L113" t="b">
        <f>NOT(E113=I113)</f>
        <v>1</v>
      </c>
      <c r="M113" t="b">
        <f t="shared" si="3"/>
        <v>0</v>
      </c>
    </row>
    <row r="114" spans="1:13" x14ac:dyDescent="0.2">
      <c r="A114" t="s">
        <v>209</v>
      </c>
      <c r="B114" t="s">
        <v>212</v>
      </c>
      <c r="C114" t="s">
        <v>4</v>
      </c>
      <c r="D114">
        <v>0.01</v>
      </c>
      <c r="E114">
        <v>1000</v>
      </c>
      <c r="F114">
        <v>1.74921669531613E-2</v>
      </c>
      <c r="G114" s="1" t="s">
        <v>150</v>
      </c>
      <c r="H114" s="1" t="s">
        <v>151</v>
      </c>
      <c r="I114">
        <v>1000</v>
      </c>
      <c r="J114">
        <v>4</v>
      </c>
      <c r="K114" t="b">
        <f t="shared" si="2"/>
        <v>1</v>
      </c>
      <c r="L114" t="b">
        <f>NOT(E114=I114)</f>
        <v>0</v>
      </c>
      <c r="M114" t="b">
        <f t="shared" si="3"/>
        <v>0</v>
      </c>
    </row>
    <row r="115" spans="1:13" hidden="1" x14ac:dyDescent="0.2">
      <c r="A115" t="s">
        <v>209</v>
      </c>
      <c r="B115" t="s">
        <v>212</v>
      </c>
      <c r="C115" t="s">
        <v>2</v>
      </c>
      <c r="D115">
        <v>0.05</v>
      </c>
      <c r="E115">
        <v>1000</v>
      </c>
      <c r="F115">
        <v>8.2123749889433297E-3</v>
      </c>
      <c r="G115">
        <v>1.6185582964680999E-2</v>
      </c>
      <c r="H115" s="1" t="s">
        <v>152</v>
      </c>
      <c r="I115">
        <v>7</v>
      </c>
      <c r="J115">
        <v>7</v>
      </c>
      <c r="K115" t="b">
        <f t="shared" si="2"/>
        <v>1</v>
      </c>
      <c r="L115" t="b">
        <f>NOT(E115=I115)</f>
        <v>1</v>
      </c>
      <c r="M115" t="b">
        <f t="shared" si="3"/>
        <v>0</v>
      </c>
    </row>
    <row r="116" spans="1:13" hidden="1" x14ac:dyDescent="0.2">
      <c r="A116" t="s">
        <v>209</v>
      </c>
      <c r="B116" t="s">
        <v>212</v>
      </c>
      <c r="C116" t="s">
        <v>4</v>
      </c>
      <c r="D116">
        <v>0.05</v>
      </c>
      <c r="E116">
        <v>1000</v>
      </c>
      <c r="F116" t="s">
        <v>76</v>
      </c>
      <c r="G116" t="s">
        <v>76</v>
      </c>
      <c r="H116" t="s">
        <v>76</v>
      </c>
      <c r="I116">
        <v>1000</v>
      </c>
      <c r="J116">
        <v>1000</v>
      </c>
      <c r="K116" t="b">
        <f t="shared" si="2"/>
        <v>1</v>
      </c>
      <c r="L116" t="b">
        <f>NOT(E116=I116)</f>
        <v>0</v>
      </c>
      <c r="M116" t="b">
        <f t="shared" si="3"/>
        <v>1</v>
      </c>
    </row>
    <row r="117" spans="1:13" hidden="1" x14ac:dyDescent="0.2">
      <c r="A117" t="s">
        <v>209</v>
      </c>
      <c r="B117" t="s">
        <v>212</v>
      </c>
      <c r="C117" t="s">
        <v>2</v>
      </c>
      <c r="D117">
        <v>0.1</v>
      </c>
      <c r="E117">
        <v>1000</v>
      </c>
      <c r="F117">
        <v>7.3509159847162603E-3</v>
      </c>
      <c r="G117" s="1" t="s">
        <v>153</v>
      </c>
      <c r="H117" s="1" t="s">
        <v>154</v>
      </c>
      <c r="I117">
        <v>11</v>
      </c>
      <c r="J117">
        <v>11</v>
      </c>
      <c r="K117" t="b">
        <f t="shared" si="2"/>
        <v>1</v>
      </c>
      <c r="L117" t="b">
        <f>NOT(E117=I117)</f>
        <v>1</v>
      </c>
      <c r="M117" t="b">
        <f t="shared" si="3"/>
        <v>0</v>
      </c>
    </row>
    <row r="118" spans="1:13" hidden="1" x14ac:dyDescent="0.2">
      <c r="A118" t="s">
        <v>209</v>
      </c>
      <c r="B118" t="s">
        <v>212</v>
      </c>
      <c r="C118" t="s">
        <v>4</v>
      </c>
      <c r="D118">
        <v>0.1</v>
      </c>
      <c r="E118">
        <v>1000</v>
      </c>
      <c r="F118" t="s">
        <v>76</v>
      </c>
      <c r="G118" t="s">
        <v>76</v>
      </c>
      <c r="H118" t="s">
        <v>76</v>
      </c>
      <c r="I118">
        <v>1000</v>
      </c>
      <c r="J118">
        <v>1000</v>
      </c>
      <c r="K118" t="b">
        <f t="shared" si="2"/>
        <v>1</v>
      </c>
      <c r="L118" t="b">
        <f>NOT(E118=I118)</f>
        <v>0</v>
      </c>
      <c r="M118" t="b">
        <f t="shared" si="3"/>
        <v>1</v>
      </c>
    </row>
    <row r="119" spans="1:13" hidden="1" x14ac:dyDescent="0.2">
      <c r="A119" t="s">
        <v>209</v>
      </c>
      <c r="B119" t="s">
        <v>213</v>
      </c>
      <c r="C119" t="s">
        <v>2</v>
      </c>
      <c r="D119">
        <v>0</v>
      </c>
      <c r="E119">
        <v>1000</v>
      </c>
      <c r="F119">
        <v>1.24144579749554E-2</v>
      </c>
      <c r="G119" s="1" t="s">
        <v>155</v>
      </c>
      <c r="H119">
        <v>3.1993832963053102E-2</v>
      </c>
      <c r="I119">
        <v>1</v>
      </c>
      <c r="J119">
        <v>1</v>
      </c>
      <c r="K119" t="b">
        <f t="shared" si="2"/>
        <v>0</v>
      </c>
      <c r="L119" t="b">
        <f>NOT(E119=I119)</f>
        <v>1</v>
      </c>
      <c r="M119" t="b">
        <f t="shared" si="3"/>
        <v>0</v>
      </c>
    </row>
    <row r="120" spans="1:13" hidden="1" x14ac:dyDescent="0.2">
      <c r="A120" t="s">
        <v>209</v>
      </c>
      <c r="B120" t="s">
        <v>213</v>
      </c>
      <c r="C120" t="s">
        <v>4</v>
      </c>
      <c r="D120">
        <v>0</v>
      </c>
      <c r="E120">
        <v>1000</v>
      </c>
      <c r="F120" s="1" t="s">
        <v>156</v>
      </c>
      <c r="G120" s="1" t="s">
        <v>157</v>
      </c>
      <c r="H120" s="1" t="s">
        <v>158</v>
      </c>
      <c r="I120">
        <v>512</v>
      </c>
      <c r="J120">
        <v>1</v>
      </c>
      <c r="K120" t="b">
        <f t="shared" si="2"/>
        <v>0</v>
      </c>
      <c r="L120" t="b">
        <f>NOT(E120=I120)</f>
        <v>1</v>
      </c>
      <c r="M120" t="b">
        <f t="shared" si="3"/>
        <v>1</v>
      </c>
    </row>
    <row r="121" spans="1:13" hidden="1" x14ac:dyDescent="0.2">
      <c r="A121" t="s">
        <v>209</v>
      </c>
      <c r="B121" t="s">
        <v>213</v>
      </c>
      <c r="C121" t="s">
        <v>2</v>
      </c>
      <c r="D121">
        <v>0.01</v>
      </c>
      <c r="E121">
        <v>1000</v>
      </c>
      <c r="F121" s="1" t="s">
        <v>159</v>
      </c>
      <c r="G121" s="1" t="s">
        <v>160</v>
      </c>
      <c r="H121">
        <v>3.5647583019453997E-2</v>
      </c>
      <c r="I121">
        <v>4</v>
      </c>
      <c r="J121">
        <v>4</v>
      </c>
      <c r="K121" t="b">
        <f t="shared" si="2"/>
        <v>1</v>
      </c>
      <c r="L121" t="b">
        <f>NOT(E121=I121)</f>
        <v>1</v>
      </c>
      <c r="M121" t="b">
        <f t="shared" si="3"/>
        <v>0</v>
      </c>
    </row>
    <row r="122" spans="1:13" x14ac:dyDescent="0.2">
      <c r="A122" t="s">
        <v>209</v>
      </c>
      <c r="B122" t="s">
        <v>213</v>
      </c>
      <c r="C122" t="s">
        <v>4</v>
      </c>
      <c r="D122">
        <v>0.01</v>
      </c>
      <c r="E122">
        <v>1000</v>
      </c>
      <c r="F122" s="1" t="s">
        <v>161</v>
      </c>
      <c r="G122" s="1" t="s">
        <v>162</v>
      </c>
      <c r="H122" s="1" t="s">
        <v>163</v>
      </c>
      <c r="I122">
        <v>1000</v>
      </c>
      <c r="J122">
        <v>4</v>
      </c>
      <c r="K122" t="b">
        <f t="shared" si="2"/>
        <v>1</v>
      </c>
      <c r="L122" t="b">
        <f>NOT(E122=I122)</f>
        <v>0</v>
      </c>
      <c r="M122" t="b">
        <f t="shared" si="3"/>
        <v>0</v>
      </c>
    </row>
    <row r="123" spans="1:13" hidden="1" x14ac:dyDescent="0.2">
      <c r="A123" t="s">
        <v>209</v>
      </c>
      <c r="B123" t="s">
        <v>213</v>
      </c>
      <c r="C123" t="s">
        <v>2</v>
      </c>
      <c r="D123">
        <v>0.05</v>
      </c>
      <c r="E123">
        <v>1000</v>
      </c>
      <c r="F123" s="1" t="s">
        <v>164</v>
      </c>
      <c r="G123" s="1" t="s">
        <v>165</v>
      </c>
      <c r="H123">
        <v>3.9203625055961297E-2</v>
      </c>
      <c r="I123">
        <v>6</v>
      </c>
      <c r="J123">
        <v>6</v>
      </c>
      <c r="K123" t="b">
        <f t="shared" si="2"/>
        <v>1</v>
      </c>
      <c r="L123" t="b">
        <f>NOT(E123=I123)</f>
        <v>1</v>
      </c>
      <c r="M123" t="b">
        <f t="shared" si="3"/>
        <v>0</v>
      </c>
    </row>
    <row r="124" spans="1:13" hidden="1" x14ac:dyDescent="0.2">
      <c r="A124" t="s">
        <v>209</v>
      </c>
      <c r="B124" t="s">
        <v>213</v>
      </c>
      <c r="C124" t="s">
        <v>4</v>
      </c>
      <c r="D124">
        <v>0.05</v>
      </c>
      <c r="E124">
        <v>1000</v>
      </c>
      <c r="F124" t="s">
        <v>76</v>
      </c>
      <c r="G124" t="s">
        <v>76</v>
      </c>
      <c r="H124" t="s">
        <v>76</v>
      </c>
      <c r="I124">
        <v>1000</v>
      </c>
      <c r="J124">
        <v>1000</v>
      </c>
      <c r="K124" t="b">
        <f t="shared" si="2"/>
        <v>1</v>
      </c>
      <c r="L124" t="b">
        <f>NOT(E124=I124)</f>
        <v>0</v>
      </c>
      <c r="M124" t="b">
        <f t="shared" si="3"/>
        <v>1</v>
      </c>
    </row>
    <row r="125" spans="1:13" hidden="1" x14ac:dyDescent="0.2">
      <c r="A125" t="s">
        <v>209</v>
      </c>
      <c r="B125" t="s">
        <v>213</v>
      </c>
      <c r="C125" t="s">
        <v>2</v>
      </c>
      <c r="D125">
        <v>0.1</v>
      </c>
      <c r="E125">
        <v>1000</v>
      </c>
      <c r="F125" s="1" t="s">
        <v>166</v>
      </c>
      <c r="G125">
        <v>2.8111958003137202E-2</v>
      </c>
      <c r="H125" s="1" t="s">
        <v>167</v>
      </c>
      <c r="I125">
        <v>9</v>
      </c>
      <c r="J125">
        <v>9</v>
      </c>
      <c r="K125" t="b">
        <f t="shared" si="2"/>
        <v>1</v>
      </c>
      <c r="L125" t="b">
        <f>NOT(E125=I125)</f>
        <v>1</v>
      </c>
      <c r="M125" t="b">
        <f t="shared" si="3"/>
        <v>0</v>
      </c>
    </row>
    <row r="126" spans="1:13" hidden="1" x14ac:dyDescent="0.2">
      <c r="A126" t="s">
        <v>209</v>
      </c>
      <c r="B126" t="s">
        <v>213</v>
      </c>
      <c r="C126" t="s">
        <v>4</v>
      </c>
      <c r="D126">
        <v>0.1</v>
      </c>
      <c r="E126">
        <v>1000</v>
      </c>
      <c r="F126" t="s">
        <v>76</v>
      </c>
      <c r="G126" t="s">
        <v>76</v>
      </c>
      <c r="H126" t="s">
        <v>76</v>
      </c>
      <c r="I126">
        <v>1000</v>
      </c>
      <c r="J126">
        <v>1000</v>
      </c>
      <c r="K126" t="b">
        <f t="shared" si="2"/>
        <v>1</v>
      </c>
      <c r="L126" t="b">
        <f>NOT(E126=I126)</f>
        <v>0</v>
      </c>
      <c r="M126" t="b">
        <f t="shared" si="3"/>
        <v>1</v>
      </c>
    </row>
    <row r="127" spans="1:13" hidden="1" x14ac:dyDescent="0.2">
      <c r="A127" t="s">
        <v>209</v>
      </c>
      <c r="B127" t="s">
        <v>214</v>
      </c>
      <c r="C127" t="s">
        <v>2</v>
      </c>
      <c r="D127">
        <v>0</v>
      </c>
      <c r="E127">
        <v>1000</v>
      </c>
      <c r="F127" s="1" t="s">
        <v>168</v>
      </c>
      <c r="G127" s="1" t="s">
        <v>169</v>
      </c>
      <c r="H127" s="1" t="s">
        <v>170</v>
      </c>
      <c r="I127">
        <v>1</v>
      </c>
      <c r="J127">
        <v>1</v>
      </c>
      <c r="K127" t="b">
        <f t="shared" si="2"/>
        <v>0</v>
      </c>
      <c r="L127" t="b">
        <f>NOT(E127=I127)</f>
        <v>1</v>
      </c>
      <c r="M127" t="b">
        <f t="shared" si="3"/>
        <v>0</v>
      </c>
    </row>
    <row r="128" spans="1:13" hidden="1" x14ac:dyDescent="0.2">
      <c r="A128" t="s">
        <v>209</v>
      </c>
      <c r="B128" t="s">
        <v>214</v>
      </c>
      <c r="C128" t="s">
        <v>4</v>
      </c>
      <c r="D128">
        <v>0</v>
      </c>
      <c r="E128">
        <v>1000</v>
      </c>
      <c r="F128">
        <v>3.8822041999082998E-2</v>
      </c>
      <c r="G128" s="1" t="s">
        <v>171</v>
      </c>
      <c r="H128" s="1" t="s">
        <v>172</v>
      </c>
      <c r="I128">
        <v>1000</v>
      </c>
      <c r="J128">
        <v>1</v>
      </c>
      <c r="K128" t="b">
        <f t="shared" si="2"/>
        <v>0</v>
      </c>
      <c r="L128" t="b">
        <f>NOT(E128=I128)</f>
        <v>0</v>
      </c>
      <c r="M128" t="b">
        <f t="shared" si="3"/>
        <v>1</v>
      </c>
    </row>
    <row r="129" spans="1:13" hidden="1" x14ac:dyDescent="0.2">
      <c r="A129" t="s">
        <v>209</v>
      </c>
      <c r="B129" t="s">
        <v>214</v>
      </c>
      <c r="C129" t="s">
        <v>2</v>
      </c>
      <c r="D129">
        <v>0.01</v>
      </c>
      <c r="E129">
        <v>1000</v>
      </c>
      <c r="F129">
        <v>1.7129540967289299E-2</v>
      </c>
      <c r="G129">
        <v>3.5937541979365002E-2</v>
      </c>
      <c r="H129">
        <v>5.3067082946654402E-2</v>
      </c>
      <c r="I129">
        <v>2</v>
      </c>
      <c r="J129">
        <v>2</v>
      </c>
      <c r="K129" t="b">
        <f t="shared" si="2"/>
        <v>1</v>
      </c>
      <c r="L129" t="b">
        <f>NOT(E129=I129)</f>
        <v>1</v>
      </c>
      <c r="M129" t="b">
        <f t="shared" si="3"/>
        <v>0</v>
      </c>
    </row>
    <row r="130" spans="1:13" hidden="1" x14ac:dyDescent="0.2">
      <c r="A130" t="s">
        <v>209</v>
      </c>
      <c r="B130" t="s">
        <v>214</v>
      </c>
      <c r="C130" t="s">
        <v>4</v>
      </c>
      <c r="D130">
        <v>0.01</v>
      </c>
      <c r="E130">
        <v>1000</v>
      </c>
      <c r="F130" t="s">
        <v>76</v>
      </c>
      <c r="G130" t="s">
        <v>76</v>
      </c>
      <c r="H130" t="s">
        <v>76</v>
      </c>
      <c r="I130">
        <v>1000</v>
      </c>
      <c r="J130">
        <v>1000</v>
      </c>
      <c r="K130" t="b">
        <f t="shared" si="2"/>
        <v>1</v>
      </c>
      <c r="L130" t="b">
        <f>NOT(E130=I130)</f>
        <v>0</v>
      </c>
      <c r="M130" t="b">
        <f t="shared" si="3"/>
        <v>1</v>
      </c>
    </row>
    <row r="131" spans="1:13" hidden="1" x14ac:dyDescent="0.2">
      <c r="A131" t="s">
        <v>209</v>
      </c>
      <c r="B131" t="s">
        <v>214</v>
      </c>
      <c r="C131" t="s">
        <v>2</v>
      </c>
      <c r="D131">
        <v>0.05</v>
      </c>
      <c r="E131">
        <v>1000</v>
      </c>
      <c r="F131" s="1" t="s">
        <v>173</v>
      </c>
      <c r="G131">
        <v>2.71233329549431E-2</v>
      </c>
      <c r="H131">
        <v>4.4873874925542602E-2</v>
      </c>
      <c r="I131">
        <v>2</v>
      </c>
      <c r="J131">
        <v>2</v>
      </c>
      <c r="K131" t="b">
        <f t="shared" si="2"/>
        <v>1</v>
      </c>
      <c r="L131" t="b">
        <f>NOT(E131=I131)</f>
        <v>1</v>
      </c>
      <c r="M131" t="b">
        <f t="shared" si="3"/>
        <v>0</v>
      </c>
    </row>
    <row r="132" spans="1:13" hidden="1" x14ac:dyDescent="0.2">
      <c r="A132" t="s">
        <v>209</v>
      </c>
      <c r="B132" t="s">
        <v>214</v>
      </c>
      <c r="C132" t="s">
        <v>4</v>
      </c>
      <c r="D132">
        <v>0.05</v>
      </c>
      <c r="E132">
        <v>1000</v>
      </c>
      <c r="F132" t="s">
        <v>76</v>
      </c>
      <c r="G132" t="s">
        <v>76</v>
      </c>
      <c r="H132" t="s">
        <v>76</v>
      </c>
      <c r="I132">
        <v>1000</v>
      </c>
      <c r="J132">
        <v>1000</v>
      </c>
      <c r="K132" t="b">
        <f t="shared" si="2"/>
        <v>1</v>
      </c>
      <c r="L132" t="b">
        <f>NOT(E132=I132)</f>
        <v>0</v>
      </c>
      <c r="M132" t="b">
        <f t="shared" si="3"/>
        <v>1</v>
      </c>
    </row>
    <row r="133" spans="1:13" hidden="1" x14ac:dyDescent="0.2">
      <c r="A133" t="s">
        <v>209</v>
      </c>
      <c r="B133" t="s">
        <v>214</v>
      </c>
      <c r="C133" t="s">
        <v>2</v>
      </c>
      <c r="D133">
        <v>0.1</v>
      </c>
      <c r="E133">
        <v>1000</v>
      </c>
      <c r="F133">
        <v>1.7821209039539099E-2</v>
      </c>
      <c r="G133">
        <v>2.66519589931704E-2</v>
      </c>
      <c r="H133">
        <v>4.4473168032709502E-2</v>
      </c>
      <c r="I133">
        <v>3</v>
      </c>
      <c r="J133">
        <v>3</v>
      </c>
      <c r="K133" t="b">
        <f t="shared" si="2"/>
        <v>1</v>
      </c>
      <c r="L133" t="b">
        <f>NOT(E133=I133)</f>
        <v>1</v>
      </c>
      <c r="M133" t="b">
        <f t="shared" si="3"/>
        <v>0</v>
      </c>
    </row>
    <row r="134" spans="1:13" hidden="1" x14ac:dyDescent="0.2">
      <c r="A134" t="s">
        <v>209</v>
      </c>
      <c r="B134" t="s">
        <v>214</v>
      </c>
      <c r="C134" t="s">
        <v>4</v>
      </c>
      <c r="D134">
        <v>0.1</v>
      </c>
      <c r="E134">
        <v>1000</v>
      </c>
      <c r="F134" t="s">
        <v>76</v>
      </c>
      <c r="G134" t="s">
        <v>76</v>
      </c>
      <c r="H134" t="s">
        <v>76</v>
      </c>
      <c r="I134">
        <v>1000</v>
      </c>
      <c r="J134">
        <v>1000</v>
      </c>
      <c r="K134" t="b">
        <f t="shared" si="2"/>
        <v>1</v>
      </c>
      <c r="L134" t="b">
        <f>NOT(E134=I134)</f>
        <v>0</v>
      </c>
      <c r="M134" t="b">
        <f t="shared" si="3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E621-4940-A442-A95B-BFAABC1FA119}">
  <dimension ref="A1:F45"/>
  <sheetViews>
    <sheetView workbookViewId="0">
      <selection activeCell="K34" sqref="K34"/>
    </sheetView>
  </sheetViews>
  <sheetFormatPr baseColWidth="10" defaultRowHeight="16" x14ac:dyDescent="0.2"/>
  <sheetData>
    <row r="1" spans="1:6" x14ac:dyDescent="0.2">
      <c r="A1" t="s">
        <v>14</v>
      </c>
      <c r="B1" t="s">
        <v>18</v>
      </c>
      <c r="C1" t="s">
        <v>22</v>
      </c>
      <c r="D1" t="s">
        <v>23</v>
      </c>
      <c r="E1" t="s">
        <v>28</v>
      </c>
      <c r="F1" t="s">
        <v>29</v>
      </c>
    </row>
    <row r="2" spans="1:6" x14ac:dyDescent="0.2">
      <c r="A2" t="s">
        <v>203</v>
      </c>
      <c r="B2" t="s">
        <v>212</v>
      </c>
      <c r="C2">
        <v>0</v>
      </c>
      <c r="D2">
        <v>50</v>
      </c>
      <c r="E2">
        <v>8</v>
      </c>
      <c r="F2">
        <v>1</v>
      </c>
    </row>
    <row r="3" spans="1:6" x14ac:dyDescent="0.2">
      <c r="A3" t="s">
        <v>203</v>
      </c>
      <c r="B3" t="s">
        <v>212</v>
      </c>
      <c r="C3">
        <v>0.01</v>
      </c>
      <c r="D3">
        <v>50</v>
      </c>
      <c r="E3">
        <v>16</v>
      </c>
      <c r="F3">
        <v>2</v>
      </c>
    </row>
    <row r="4" spans="1:6" x14ac:dyDescent="0.2">
      <c r="A4" t="s">
        <v>203</v>
      </c>
      <c r="B4" t="s">
        <v>212</v>
      </c>
      <c r="C4">
        <v>0.05</v>
      </c>
      <c r="D4">
        <v>50</v>
      </c>
      <c r="E4">
        <v>16</v>
      </c>
      <c r="F4">
        <v>2</v>
      </c>
    </row>
    <row r="5" spans="1:6" x14ac:dyDescent="0.2">
      <c r="A5" t="s">
        <v>203</v>
      </c>
      <c r="B5" t="s">
        <v>212</v>
      </c>
      <c r="C5">
        <v>0.1</v>
      </c>
      <c r="D5">
        <v>50</v>
      </c>
      <c r="E5">
        <v>16</v>
      </c>
      <c r="F5">
        <v>2</v>
      </c>
    </row>
    <row r="6" spans="1:6" x14ac:dyDescent="0.2">
      <c r="A6" t="s">
        <v>203</v>
      </c>
      <c r="B6" t="s">
        <v>213</v>
      </c>
      <c r="C6">
        <v>0</v>
      </c>
      <c r="D6">
        <v>50</v>
      </c>
      <c r="E6">
        <v>8</v>
      </c>
      <c r="F6">
        <v>1</v>
      </c>
    </row>
    <row r="7" spans="1:6" x14ac:dyDescent="0.2">
      <c r="A7" t="s">
        <v>203</v>
      </c>
      <c r="B7" t="s">
        <v>213</v>
      </c>
      <c r="C7">
        <v>0.01</v>
      </c>
      <c r="D7">
        <v>50</v>
      </c>
      <c r="E7">
        <v>16</v>
      </c>
      <c r="F7">
        <v>2</v>
      </c>
    </row>
    <row r="8" spans="1:6" x14ac:dyDescent="0.2">
      <c r="A8" t="s">
        <v>203</v>
      </c>
      <c r="B8" t="s">
        <v>213</v>
      </c>
      <c r="C8">
        <v>0.05</v>
      </c>
      <c r="D8">
        <v>50</v>
      </c>
      <c r="E8">
        <v>16</v>
      </c>
      <c r="F8">
        <v>2</v>
      </c>
    </row>
    <row r="9" spans="1:6" x14ac:dyDescent="0.2">
      <c r="A9" t="s">
        <v>203</v>
      </c>
      <c r="B9" t="s">
        <v>213</v>
      </c>
      <c r="C9">
        <v>0.1</v>
      </c>
      <c r="D9">
        <v>50</v>
      </c>
      <c r="E9">
        <v>16</v>
      </c>
      <c r="F9">
        <v>2</v>
      </c>
    </row>
    <row r="10" spans="1:6" x14ac:dyDescent="0.2">
      <c r="A10" t="s">
        <v>203</v>
      </c>
      <c r="B10" t="s">
        <v>214</v>
      </c>
      <c r="C10">
        <v>0</v>
      </c>
      <c r="D10">
        <v>50</v>
      </c>
      <c r="E10">
        <v>16</v>
      </c>
      <c r="F10">
        <v>1</v>
      </c>
    </row>
    <row r="11" spans="1:6" x14ac:dyDescent="0.2">
      <c r="A11" t="s">
        <v>203</v>
      </c>
      <c r="B11" t="s">
        <v>214</v>
      </c>
      <c r="C11">
        <v>0.01</v>
      </c>
      <c r="D11">
        <v>50</v>
      </c>
      <c r="E11">
        <v>16</v>
      </c>
      <c r="F11">
        <v>2</v>
      </c>
    </row>
    <row r="12" spans="1:6" x14ac:dyDescent="0.2">
      <c r="A12" t="s">
        <v>203</v>
      </c>
      <c r="B12" t="s">
        <v>214</v>
      </c>
      <c r="C12">
        <v>0.05</v>
      </c>
      <c r="D12">
        <v>50</v>
      </c>
      <c r="E12">
        <v>16</v>
      </c>
      <c r="F12">
        <v>4</v>
      </c>
    </row>
    <row r="13" spans="1:6" x14ac:dyDescent="0.2">
      <c r="A13" t="s">
        <v>203</v>
      </c>
      <c r="B13" t="s">
        <v>214</v>
      </c>
      <c r="C13">
        <v>0.1</v>
      </c>
      <c r="D13">
        <v>50</v>
      </c>
      <c r="E13">
        <v>16</v>
      </c>
      <c r="F13">
        <v>4</v>
      </c>
    </row>
    <row r="14" spans="1:6" x14ac:dyDescent="0.2">
      <c r="A14" t="s">
        <v>204</v>
      </c>
      <c r="B14" t="s">
        <v>212</v>
      </c>
      <c r="C14">
        <v>0</v>
      </c>
      <c r="D14">
        <v>1000</v>
      </c>
      <c r="E14">
        <v>2</v>
      </c>
      <c r="F14">
        <v>1</v>
      </c>
    </row>
    <row r="15" spans="1:6" x14ac:dyDescent="0.2">
      <c r="A15" t="s">
        <v>204</v>
      </c>
      <c r="B15" t="s">
        <v>212</v>
      </c>
      <c r="C15">
        <v>0.01</v>
      </c>
      <c r="D15">
        <v>1000</v>
      </c>
      <c r="E15">
        <v>4</v>
      </c>
      <c r="F15">
        <v>2</v>
      </c>
    </row>
    <row r="16" spans="1:6" x14ac:dyDescent="0.2">
      <c r="A16" t="s">
        <v>204</v>
      </c>
      <c r="B16" t="s">
        <v>212</v>
      </c>
      <c r="C16">
        <v>0.05</v>
      </c>
      <c r="D16">
        <v>1000</v>
      </c>
      <c r="E16">
        <v>4</v>
      </c>
      <c r="F16">
        <v>2</v>
      </c>
    </row>
    <row r="17" spans="1:6" x14ac:dyDescent="0.2">
      <c r="A17" t="s">
        <v>204</v>
      </c>
      <c r="B17" t="s">
        <v>212</v>
      </c>
      <c r="C17">
        <v>0.1</v>
      </c>
      <c r="D17">
        <v>1000</v>
      </c>
      <c r="E17">
        <v>4</v>
      </c>
      <c r="F17">
        <v>2</v>
      </c>
    </row>
    <row r="18" spans="1:6" x14ac:dyDescent="0.2">
      <c r="A18" t="s">
        <v>204</v>
      </c>
      <c r="B18" t="s">
        <v>213</v>
      </c>
      <c r="C18">
        <v>0</v>
      </c>
      <c r="D18">
        <v>1000</v>
      </c>
      <c r="E18">
        <v>2</v>
      </c>
      <c r="F18">
        <v>1</v>
      </c>
    </row>
    <row r="19" spans="1:6" x14ac:dyDescent="0.2">
      <c r="A19" t="s">
        <v>204</v>
      </c>
      <c r="B19" t="s">
        <v>213</v>
      </c>
      <c r="C19">
        <v>0.01</v>
      </c>
      <c r="D19">
        <v>1000</v>
      </c>
      <c r="E19">
        <v>4</v>
      </c>
      <c r="F19">
        <v>2</v>
      </c>
    </row>
    <row r="20" spans="1:6" x14ac:dyDescent="0.2">
      <c r="A20" t="s">
        <v>204</v>
      </c>
      <c r="B20" t="s">
        <v>213</v>
      </c>
      <c r="C20">
        <v>0.05</v>
      </c>
      <c r="D20">
        <v>1000</v>
      </c>
      <c r="E20">
        <v>4</v>
      </c>
      <c r="F20">
        <v>2</v>
      </c>
    </row>
    <row r="21" spans="1:6" x14ac:dyDescent="0.2">
      <c r="A21" t="s">
        <v>204</v>
      </c>
      <c r="B21" t="s">
        <v>213</v>
      </c>
      <c r="C21">
        <v>0.1</v>
      </c>
      <c r="D21">
        <v>1000</v>
      </c>
      <c r="E21">
        <v>4</v>
      </c>
      <c r="F21">
        <v>2</v>
      </c>
    </row>
    <row r="22" spans="1:6" x14ac:dyDescent="0.2">
      <c r="A22" t="s">
        <v>204</v>
      </c>
      <c r="B22" t="s">
        <v>214</v>
      </c>
      <c r="C22">
        <v>0</v>
      </c>
      <c r="D22">
        <v>1000</v>
      </c>
      <c r="E22">
        <v>2</v>
      </c>
      <c r="F22">
        <v>1</v>
      </c>
    </row>
    <row r="23" spans="1:6" x14ac:dyDescent="0.2">
      <c r="A23" t="s">
        <v>204</v>
      </c>
      <c r="B23" t="s">
        <v>214</v>
      </c>
      <c r="C23">
        <v>0.01</v>
      </c>
      <c r="D23">
        <v>1000</v>
      </c>
      <c r="E23">
        <v>4</v>
      </c>
      <c r="F23">
        <v>2</v>
      </c>
    </row>
    <row r="24" spans="1:6" x14ac:dyDescent="0.2">
      <c r="A24" t="s">
        <v>204</v>
      </c>
      <c r="B24" t="s">
        <v>214</v>
      </c>
      <c r="C24">
        <v>0.05</v>
      </c>
      <c r="D24">
        <v>1000</v>
      </c>
      <c r="E24">
        <v>4</v>
      </c>
      <c r="F24">
        <v>2</v>
      </c>
    </row>
    <row r="25" spans="1:6" x14ac:dyDescent="0.2">
      <c r="A25" t="s">
        <v>204</v>
      </c>
      <c r="B25" t="s">
        <v>214</v>
      </c>
      <c r="C25">
        <v>0.1</v>
      </c>
      <c r="D25">
        <v>1000</v>
      </c>
      <c r="E25">
        <v>4</v>
      </c>
      <c r="F25">
        <v>2</v>
      </c>
    </row>
    <row r="26" spans="1:6" x14ac:dyDescent="0.2">
      <c r="A26" t="s">
        <v>205</v>
      </c>
      <c r="B26" t="s">
        <v>212</v>
      </c>
      <c r="C26">
        <v>0</v>
      </c>
      <c r="D26">
        <v>1000</v>
      </c>
      <c r="E26">
        <v>256</v>
      </c>
      <c r="F26">
        <v>1</v>
      </c>
    </row>
    <row r="27" spans="1:6" x14ac:dyDescent="0.2">
      <c r="A27" t="s">
        <v>205</v>
      </c>
      <c r="B27" t="s">
        <v>212</v>
      </c>
      <c r="C27">
        <v>0.01</v>
      </c>
      <c r="D27">
        <v>1000</v>
      </c>
      <c r="E27">
        <v>1000</v>
      </c>
      <c r="F27">
        <v>4</v>
      </c>
    </row>
    <row r="28" spans="1:6" x14ac:dyDescent="0.2">
      <c r="A28" t="s">
        <v>205</v>
      </c>
      <c r="B28" t="s">
        <v>213</v>
      </c>
      <c r="C28">
        <v>0</v>
      </c>
      <c r="D28">
        <v>1000</v>
      </c>
      <c r="E28">
        <v>256</v>
      </c>
      <c r="F28">
        <v>1</v>
      </c>
    </row>
    <row r="29" spans="1:6" x14ac:dyDescent="0.2">
      <c r="A29" t="s">
        <v>205</v>
      </c>
      <c r="B29" t="s">
        <v>213</v>
      </c>
      <c r="C29">
        <v>0.01</v>
      </c>
      <c r="D29">
        <v>1000</v>
      </c>
      <c r="E29">
        <v>1000</v>
      </c>
      <c r="F29">
        <v>4</v>
      </c>
    </row>
    <row r="30" spans="1:6" x14ac:dyDescent="0.2">
      <c r="A30" t="s">
        <v>205</v>
      </c>
      <c r="B30" t="s">
        <v>214</v>
      </c>
      <c r="C30">
        <v>0.01</v>
      </c>
      <c r="D30">
        <v>1000</v>
      </c>
      <c r="E30">
        <v>1000</v>
      </c>
      <c r="F30">
        <v>4</v>
      </c>
    </row>
    <row r="31" spans="1:6" x14ac:dyDescent="0.2">
      <c r="A31" t="s">
        <v>208</v>
      </c>
      <c r="B31" t="s">
        <v>212</v>
      </c>
      <c r="C31">
        <v>0</v>
      </c>
      <c r="D31">
        <v>1000</v>
      </c>
      <c r="E31">
        <v>4</v>
      </c>
      <c r="F31">
        <v>1</v>
      </c>
    </row>
    <row r="32" spans="1:6" x14ac:dyDescent="0.2">
      <c r="A32" t="s">
        <v>208</v>
      </c>
      <c r="B32" t="s">
        <v>212</v>
      </c>
      <c r="C32">
        <v>0.01</v>
      </c>
      <c r="D32">
        <v>1000</v>
      </c>
      <c r="E32">
        <v>4</v>
      </c>
      <c r="F32">
        <v>1</v>
      </c>
    </row>
    <row r="33" spans="1:6" x14ac:dyDescent="0.2">
      <c r="A33" t="s">
        <v>208</v>
      </c>
      <c r="B33" t="s">
        <v>212</v>
      </c>
      <c r="C33">
        <v>0.05</v>
      </c>
      <c r="D33">
        <v>1000</v>
      </c>
      <c r="E33">
        <v>4</v>
      </c>
      <c r="F33">
        <v>1</v>
      </c>
    </row>
    <row r="34" spans="1:6" x14ac:dyDescent="0.2">
      <c r="A34" t="s">
        <v>208</v>
      </c>
      <c r="B34" t="s">
        <v>212</v>
      </c>
      <c r="C34">
        <v>0.1</v>
      </c>
      <c r="D34">
        <v>1000</v>
      </c>
      <c r="E34">
        <v>4</v>
      </c>
      <c r="F34">
        <v>1</v>
      </c>
    </row>
    <row r="35" spans="1:6" x14ac:dyDescent="0.2">
      <c r="A35" t="s">
        <v>208</v>
      </c>
      <c r="B35" t="s">
        <v>213</v>
      </c>
      <c r="C35">
        <v>0</v>
      </c>
      <c r="D35">
        <v>1000</v>
      </c>
      <c r="E35">
        <v>4</v>
      </c>
      <c r="F35">
        <v>1</v>
      </c>
    </row>
    <row r="36" spans="1:6" x14ac:dyDescent="0.2">
      <c r="A36" t="s">
        <v>208</v>
      </c>
      <c r="B36" t="s">
        <v>213</v>
      </c>
      <c r="C36">
        <v>0.01</v>
      </c>
      <c r="D36">
        <v>1000</v>
      </c>
      <c r="E36">
        <v>4</v>
      </c>
      <c r="F36">
        <v>1</v>
      </c>
    </row>
    <row r="37" spans="1:6" x14ac:dyDescent="0.2">
      <c r="A37" t="s">
        <v>208</v>
      </c>
      <c r="B37" t="s">
        <v>213</v>
      </c>
      <c r="C37">
        <v>0.05</v>
      </c>
      <c r="D37">
        <v>1000</v>
      </c>
      <c r="E37">
        <v>4</v>
      </c>
      <c r="F37">
        <v>1</v>
      </c>
    </row>
    <row r="38" spans="1:6" x14ac:dyDescent="0.2">
      <c r="A38" t="s">
        <v>208</v>
      </c>
      <c r="B38" t="s">
        <v>213</v>
      </c>
      <c r="C38">
        <v>0.1</v>
      </c>
      <c r="D38">
        <v>1000</v>
      </c>
      <c r="E38">
        <v>4</v>
      </c>
      <c r="F38">
        <v>1</v>
      </c>
    </row>
    <row r="39" spans="1:6" x14ac:dyDescent="0.2">
      <c r="A39" t="s">
        <v>208</v>
      </c>
      <c r="B39" t="s">
        <v>214</v>
      </c>
      <c r="C39">
        <v>0</v>
      </c>
      <c r="D39">
        <v>1000</v>
      </c>
      <c r="E39">
        <v>4</v>
      </c>
      <c r="F39">
        <v>1</v>
      </c>
    </row>
    <row r="40" spans="1:6" x14ac:dyDescent="0.2">
      <c r="A40" t="s">
        <v>208</v>
      </c>
      <c r="B40" t="s">
        <v>214</v>
      </c>
      <c r="C40">
        <v>0.01</v>
      </c>
      <c r="D40">
        <v>1000</v>
      </c>
      <c r="E40">
        <v>4</v>
      </c>
      <c r="F40">
        <v>1</v>
      </c>
    </row>
    <row r="41" spans="1:6" x14ac:dyDescent="0.2">
      <c r="A41" t="s">
        <v>208</v>
      </c>
      <c r="B41" t="s">
        <v>214</v>
      </c>
      <c r="C41">
        <v>0.05</v>
      </c>
      <c r="D41">
        <v>1000</v>
      </c>
      <c r="E41">
        <v>4</v>
      </c>
      <c r="F41">
        <v>1</v>
      </c>
    </row>
    <row r="42" spans="1:6" x14ac:dyDescent="0.2">
      <c r="A42" t="s">
        <v>208</v>
      </c>
      <c r="B42" t="s">
        <v>214</v>
      </c>
      <c r="C42">
        <v>0.1</v>
      </c>
      <c r="D42">
        <v>1000</v>
      </c>
      <c r="E42">
        <v>4</v>
      </c>
      <c r="F42">
        <v>1</v>
      </c>
    </row>
    <row r="43" spans="1:6" x14ac:dyDescent="0.2">
      <c r="A43" t="s">
        <v>209</v>
      </c>
      <c r="B43" t="s">
        <v>212</v>
      </c>
      <c r="C43">
        <v>0</v>
      </c>
      <c r="D43">
        <v>1000</v>
      </c>
      <c r="E43">
        <v>512</v>
      </c>
      <c r="F43">
        <v>1</v>
      </c>
    </row>
    <row r="44" spans="1:6" x14ac:dyDescent="0.2">
      <c r="A44" t="s">
        <v>209</v>
      </c>
      <c r="B44" t="s">
        <v>212</v>
      </c>
      <c r="C44">
        <v>0.01</v>
      </c>
      <c r="D44">
        <v>1000</v>
      </c>
      <c r="E44">
        <v>1000</v>
      </c>
      <c r="F44">
        <v>4</v>
      </c>
    </row>
    <row r="45" spans="1:6" x14ac:dyDescent="0.2">
      <c r="A45" t="s">
        <v>209</v>
      </c>
      <c r="B45" t="s">
        <v>213</v>
      </c>
      <c r="C45">
        <v>0.01</v>
      </c>
      <c r="D45">
        <v>1000</v>
      </c>
      <c r="E45">
        <v>1000</v>
      </c>
      <c r="F4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F553-181C-3241-A829-A4A6C5805A6E}">
  <dimension ref="A2:F62"/>
  <sheetViews>
    <sheetView workbookViewId="0">
      <selection activeCell="H17" sqref="H17"/>
    </sheetView>
  </sheetViews>
  <sheetFormatPr baseColWidth="10" defaultRowHeight="16" x14ac:dyDescent="0.2"/>
  <cols>
    <col min="2" max="2" width="12.83203125" customWidth="1"/>
    <col min="4" max="4" width="14.33203125" customWidth="1"/>
    <col min="6" max="6" width="23.33203125" customWidth="1"/>
  </cols>
  <sheetData>
    <row r="2" spans="1:6" x14ac:dyDescent="0.2">
      <c r="A2" t="s">
        <v>14</v>
      </c>
      <c r="B2" t="s">
        <v>18</v>
      </c>
      <c r="C2" t="s">
        <v>22</v>
      </c>
      <c r="D2" t="s">
        <v>28</v>
      </c>
      <c r="E2" t="s">
        <v>29</v>
      </c>
      <c r="F2" t="s">
        <v>202</v>
      </c>
    </row>
    <row r="3" spans="1:6" x14ac:dyDescent="0.2">
      <c r="A3" t="s">
        <v>203</v>
      </c>
      <c r="B3" t="s">
        <v>212</v>
      </c>
      <c r="C3">
        <v>0</v>
      </c>
      <c r="D3">
        <v>1</v>
      </c>
      <c r="E3">
        <v>1</v>
      </c>
      <c r="F3" t="b">
        <v>0</v>
      </c>
    </row>
    <row r="4" spans="1:6" x14ac:dyDescent="0.2">
      <c r="A4" t="s">
        <v>203</v>
      </c>
      <c r="B4" t="s">
        <v>212</v>
      </c>
      <c r="C4">
        <v>0.01</v>
      </c>
      <c r="D4">
        <v>2</v>
      </c>
      <c r="E4">
        <v>2</v>
      </c>
      <c r="F4" t="b">
        <v>1</v>
      </c>
    </row>
    <row r="5" spans="1:6" x14ac:dyDescent="0.2">
      <c r="A5" t="s">
        <v>203</v>
      </c>
      <c r="B5" t="s">
        <v>212</v>
      </c>
      <c r="C5">
        <v>0.05</v>
      </c>
      <c r="D5">
        <v>2</v>
      </c>
      <c r="E5">
        <v>2</v>
      </c>
      <c r="F5" t="b">
        <v>1</v>
      </c>
    </row>
    <row r="6" spans="1:6" x14ac:dyDescent="0.2">
      <c r="A6" t="s">
        <v>203</v>
      </c>
      <c r="B6" t="s">
        <v>212</v>
      </c>
      <c r="C6">
        <v>0.1</v>
      </c>
      <c r="D6">
        <v>2</v>
      </c>
      <c r="E6">
        <v>2</v>
      </c>
      <c r="F6" t="b">
        <v>1</v>
      </c>
    </row>
    <row r="7" spans="1:6" x14ac:dyDescent="0.2">
      <c r="A7" t="s">
        <v>203</v>
      </c>
      <c r="B7" t="s">
        <v>213</v>
      </c>
      <c r="C7">
        <v>0</v>
      </c>
      <c r="D7">
        <v>1</v>
      </c>
      <c r="E7">
        <v>1</v>
      </c>
      <c r="F7" t="b">
        <v>0</v>
      </c>
    </row>
    <row r="8" spans="1:6" x14ac:dyDescent="0.2">
      <c r="A8" t="s">
        <v>203</v>
      </c>
      <c r="B8" t="s">
        <v>213</v>
      </c>
      <c r="C8">
        <v>0.01</v>
      </c>
      <c r="D8">
        <v>2</v>
      </c>
      <c r="E8">
        <v>2</v>
      </c>
      <c r="F8" t="b">
        <v>1</v>
      </c>
    </row>
    <row r="9" spans="1:6" x14ac:dyDescent="0.2">
      <c r="A9" t="s">
        <v>203</v>
      </c>
      <c r="B9" t="s">
        <v>213</v>
      </c>
      <c r="C9">
        <v>0.05</v>
      </c>
      <c r="D9">
        <v>2</v>
      </c>
      <c r="E9">
        <v>2</v>
      </c>
      <c r="F9" t="b">
        <v>1</v>
      </c>
    </row>
    <row r="10" spans="1:6" x14ac:dyDescent="0.2">
      <c r="A10" t="s">
        <v>203</v>
      </c>
      <c r="B10" t="s">
        <v>213</v>
      </c>
      <c r="C10">
        <v>0.1</v>
      </c>
      <c r="D10">
        <v>2</v>
      </c>
      <c r="E10">
        <v>2</v>
      </c>
      <c r="F10" t="b">
        <v>1</v>
      </c>
    </row>
    <row r="11" spans="1:6" x14ac:dyDescent="0.2">
      <c r="A11" t="s">
        <v>203</v>
      </c>
      <c r="B11" t="s">
        <v>214</v>
      </c>
      <c r="C11">
        <v>0</v>
      </c>
      <c r="D11">
        <v>1</v>
      </c>
      <c r="E11">
        <v>1</v>
      </c>
      <c r="F11" t="b">
        <v>0</v>
      </c>
    </row>
    <row r="12" spans="1:6" x14ac:dyDescent="0.2">
      <c r="A12" t="s">
        <v>203</v>
      </c>
      <c r="B12" t="s">
        <v>214</v>
      </c>
      <c r="C12">
        <v>0.01</v>
      </c>
      <c r="D12">
        <v>2</v>
      </c>
      <c r="E12">
        <v>2</v>
      </c>
      <c r="F12" t="b">
        <v>1</v>
      </c>
    </row>
    <row r="13" spans="1:6" x14ac:dyDescent="0.2">
      <c r="A13" t="s">
        <v>203</v>
      </c>
      <c r="B13" t="s">
        <v>214</v>
      </c>
      <c r="C13">
        <v>0.05</v>
      </c>
      <c r="D13">
        <v>4</v>
      </c>
      <c r="E13">
        <v>4</v>
      </c>
      <c r="F13" t="b">
        <v>1</v>
      </c>
    </row>
    <row r="14" spans="1:6" x14ac:dyDescent="0.2">
      <c r="A14" t="s">
        <v>203</v>
      </c>
      <c r="B14" t="s">
        <v>214</v>
      </c>
      <c r="C14">
        <v>0.1</v>
      </c>
      <c r="D14">
        <v>4</v>
      </c>
      <c r="E14">
        <v>4</v>
      </c>
      <c r="F14" t="b">
        <v>1</v>
      </c>
    </row>
    <row r="15" spans="1:6" x14ac:dyDescent="0.2">
      <c r="A15" t="s">
        <v>204</v>
      </c>
      <c r="B15" t="s">
        <v>212</v>
      </c>
      <c r="C15">
        <v>0</v>
      </c>
      <c r="D15">
        <v>1</v>
      </c>
      <c r="E15">
        <v>1</v>
      </c>
      <c r="F15" t="b">
        <v>0</v>
      </c>
    </row>
    <row r="16" spans="1:6" x14ac:dyDescent="0.2">
      <c r="A16" t="s">
        <v>204</v>
      </c>
      <c r="B16" t="s">
        <v>212</v>
      </c>
      <c r="C16">
        <v>0.01</v>
      </c>
      <c r="D16">
        <v>2</v>
      </c>
      <c r="E16">
        <v>2</v>
      </c>
      <c r="F16" t="b">
        <v>1</v>
      </c>
    </row>
    <row r="17" spans="1:6" x14ac:dyDescent="0.2">
      <c r="A17" t="s">
        <v>204</v>
      </c>
      <c r="B17" t="s">
        <v>212</v>
      </c>
      <c r="C17">
        <v>0.05</v>
      </c>
      <c r="D17">
        <v>2</v>
      </c>
      <c r="E17">
        <v>2</v>
      </c>
      <c r="F17" t="b">
        <v>1</v>
      </c>
    </row>
    <row r="18" spans="1:6" x14ac:dyDescent="0.2">
      <c r="A18" t="s">
        <v>204</v>
      </c>
      <c r="B18" t="s">
        <v>212</v>
      </c>
      <c r="C18">
        <v>0.1</v>
      </c>
      <c r="D18">
        <v>2</v>
      </c>
      <c r="E18">
        <v>2</v>
      </c>
      <c r="F18" t="b">
        <v>1</v>
      </c>
    </row>
    <row r="19" spans="1:6" x14ac:dyDescent="0.2">
      <c r="A19" t="s">
        <v>204</v>
      </c>
      <c r="B19" t="s">
        <v>213</v>
      </c>
      <c r="C19">
        <v>0</v>
      </c>
      <c r="D19">
        <v>1</v>
      </c>
      <c r="E19">
        <v>1</v>
      </c>
      <c r="F19" t="b">
        <v>0</v>
      </c>
    </row>
    <row r="20" spans="1:6" x14ac:dyDescent="0.2">
      <c r="A20" t="s">
        <v>204</v>
      </c>
      <c r="B20" t="s">
        <v>213</v>
      </c>
      <c r="C20">
        <v>0.01</v>
      </c>
      <c r="D20">
        <v>2</v>
      </c>
      <c r="E20">
        <v>2</v>
      </c>
      <c r="F20" t="b">
        <v>1</v>
      </c>
    </row>
    <row r="21" spans="1:6" x14ac:dyDescent="0.2">
      <c r="A21" t="s">
        <v>204</v>
      </c>
      <c r="B21" t="s">
        <v>213</v>
      </c>
      <c r="C21">
        <v>0.05</v>
      </c>
      <c r="D21">
        <v>2</v>
      </c>
      <c r="E21">
        <v>2</v>
      </c>
      <c r="F21" t="b">
        <v>1</v>
      </c>
    </row>
    <row r="22" spans="1:6" x14ac:dyDescent="0.2">
      <c r="A22" t="s">
        <v>204</v>
      </c>
      <c r="B22" t="s">
        <v>213</v>
      </c>
      <c r="C22">
        <v>0.1</v>
      </c>
      <c r="D22">
        <v>2</v>
      </c>
      <c r="E22">
        <v>2</v>
      </c>
      <c r="F22" t="b">
        <v>1</v>
      </c>
    </row>
    <row r="23" spans="1:6" x14ac:dyDescent="0.2">
      <c r="A23" t="s">
        <v>204</v>
      </c>
      <c r="B23" t="s">
        <v>214</v>
      </c>
      <c r="C23">
        <v>0</v>
      </c>
      <c r="D23">
        <v>1</v>
      </c>
      <c r="E23">
        <v>1</v>
      </c>
      <c r="F23" t="b">
        <v>0</v>
      </c>
    </row>
    <row r="24" spans="1:6" x14ac:dyDescent="0.2">
      <c r="A24" t="s">
        <v>204</v>
      </c>
      <c r="B24" t="s">
        <v>214</v>
      </c>
      <c r="C24">
        <v>0.01</v>
      </c>
      <c r="D24">
        <v>2</v>
      </c>
      <c r="E24">
        <v>2</v>
      </c>
      <c r="F24" t="b">
        <v>1</v>
      </c>
    </row>
    <row r="25" spans="1:6" x14ac:dyDescent="0.2">
      <c r="A25" t="s">
        <v>204</v>
      </c>
      <c r="B25" t="s">
        <v>214</v>
      </c>
      <c r="C25">
        <v>0.05</v>
      </c>
      <c r="D25">
        <v>2</v>
      </c>
      <c r="E25">
        <v>2</v>
      </c>
      <c r="F25" t="b">
        <v>1</v>
      </c>
    </row>
    <row r="26" spans="1:6" x14ac:dyDescent="0.2">
      <c r="A26" t="s">
        <v>204</v>
      </c>
      <c r="B26" t="s">
        <v>214</v>
      </c>
      <c r="C26">
        <v>0.1</v>
      </c>
      <c r="D26">
        <v>2</v>
      </c>
      <c r="E26">
        <v>2</v>
      </c>
      <c r="F26" t="b">
        <v>1</v>
      </c>
    </row>
    <row r="27" spans="1:6" x14ac:dyDescent="0.2">
      <c r="A27" t="s">
        <v>205</v>
      </c>
      <c r="B27" t="s">
        <v>212</v>
      </c>
      <c r="C27">
        <v>0</v>
      </c>
      <c r="D27">
        <v>1</v>
      </c>
      <c r="E27">
        <v>1</v>
      </c>
      <c r="F27" t="b">
        <v>0</v>
      </c>
    </row>
    <row r="28" spans="1:6" x14ac:dyDescent="0.2">
      <c r="A28" t="s">
        <v>205</v>
      </c>
      <c r="B28" t="s">
        <v>212</v>
      </c>
      <c r="C28">
        <v>0.01</v>
      </c>
      <c r="D28">
        <v>4</v>
      </c>
      <c r="E28">
        <v>4</v>
      </c>
      <c r="F28" t="b">
        <v>1</v>
      </c>
    </row>
    <row r="29" spans="1:6" x14ac:dyDescent="0.2">
      <c r="A29" t="s">
        <v>205</v>
      </c>
      <c r="B29" t="s">
        <v>212</v>
      </c>
      <c r="C29">
        <v>0.05</v>
      </c>
      <c r="D29">
        <v>4</v>
      </c>
      <c r="E29">
        <v>4</v>
      </c>
      <c r="F29" t="b">
        <v>1</v>
      </c>
    </row>
    <row r="30" spans="1:6" x14ac:dyDescent="0.2">
      <c r="A30" t="s">
        <v>205</v>
      </c>
      <c r="B30" t="s">
        <v>212</v>
      </c>
      <c r="C30">
        <v>0.1</v>
      </c>
      <c r="D30">
        <v>1</v>
      </c>
      <c r="E30">
        <v>1</v>
      </c>
      <c r="F30" t="b">
        <v>0</v>
      </c>
    </row>
    <row r="31" spans="1:6" x14ac:dyDescent="0.2">
      <c r="A31" t="s">
        <v>205</v>
      </c>
      <c r="B31" t="s">
        <v>213</v>
      </c>
      <c r="C31">
        <v>0</v>
      </c>
      <c r="D31">
        <v>1</v>
      </c>
      <c r="E31">
        <v>1</v>
      </c>
      <c r="F31" t="b">
        <v>0</v>
      </c>
    </row>
    <row r="32" spans="1:6" x14ac:dyDescent="0.2">
      <c r="A32" t="s">
        <v>205</v>
      </c>
      <c r="B32" t="s">
        <v>213</v>
      </c>
      <c r="C32">
        <v>0.01</v>
      </c>
      <c r="D32">
        <v>4</v>
      </c>
      <c r="E32">
        <v>4</v>
      </c>
      <c r="F32" t="b">
        <v>1</v>
      </c>
    </row>
    <row r="33" spans="1:6" x14ac:dyDescent="0.2">
      <c r="A33" t="s">
        <v>205</v>
      </c>
      <c r="B33" t="s">
        <v>213</v>
      </c>
      <c r="C33">
        <v>0.05</v>
      </c>
      <c r="D33">
        <v>4</v>
      </c>
      <c r="E33">
        <v>4</v>
      </c>
      <c r="F33" t="b">
        <v>1</v>
      </c>
    </row>
    <row r="34" spans="1:6" x14ac:dyDescent="0.2">
      <c r="A34" t="s">
        <v>205</v>
      </c>
      <c r="B34" t="s">
        <v>213</v>
      </c>
      <c r="C34">
        <v>0.1</v>
      </c>
      <c r="D34">
        <v>7</v>
      </c>
      <c r="E34">
        <v>7</v>
      </c>
      <c r="F34" t="b">
        <v>1</v>
      </c>
    </row>
    <row r="35" spans="1:6" x14ac:dyDescent="0.2">
      <c r="A35" t="s">
        <v>205</v>
      </c>
      <c r="B35" t="s">
        <v>214</v>
      </c>
      <c r="C35">
        <v>0</v>
      </c>
      <c r="D35">
        <v>1</v>
      </c>
      <c r="E35">
        <v>1</v>
      </c>
      <c r="F35" t="b">
        <v>0</v>
      </c>
    </row>
    <row r="36" spans="1:6" x14ac:dyDescent="0.2">
      <c r="A36" t="s">
        <v>205</v>
      </c>
      <c r="B36" t="s">
        <v>214</v>
      </c>
      <c r="C36">
        <v>0.01</v>
      </c>
      <c r="D36">
        <v>4</v>
      </c>
      <c r="E36">
        <v>4</v>
      </c>
      <c r="F36" t="b">
        <v>1</v>
      </c>
    </row>
    <row r="37" spans="1:6" x14ac:dyDescent="0.2">
      <c r="A37" t="s">
        <v>205</v>
      </c>
      <c r="B37" t="s">
        <v>214</v>
      </c>
      <c r="C37">
        <v>0.05</v>
      </c>
      <c r="D37">
        <v>4</v>
      </c>
      <c r="E37">
        <v>4</v>
      </c>
      <c r="F37" t="b">
        <v>1</v>
      </c>
    </row>
    <row r="38" spans="1:6" x14ac:dyDescent="0.2">
      <c r="A38" t="s">
        <v>205</v>
      </c>
      <c r="B38" t="s">
        <v>214</v>
      </c>
      <c r="C38">
        <v>0.1</v>
      </c>
      <c r="D38">
        <v>7</v>
      </c>
      <c r="E38">
        <v>7</v>
      </c>
      <c r="F38" t="b">
        <v>1</v>
      </c>
    </row>
    <row r="39" spans="1:6" x14ac:dyDescent="0.2">
      <c r="A39" t="s">
        <v>208</v>
      </c>
      <c r="B39" t="s">
        <v>212</v>
      </c>
      <c r="C39">
        <v>0</v>
      </c>
      <c r="D39">
        <v>1</v>
      </c>
      <c r="E39">
        <v>1</v>
      </c>
      <c r="F39" t="b">
        <v>0</v>
      </c>
    </row>
    <row r="40" spans="1:6" x14ac:dyDescent="0.2">
      <c r="A40" t="s">
        <v>208</v>
      </c>
      <c r="B40" t="s">
        <v>212</v>
      </c>
      <c r="C40">
        <v>0.01</v>
      </c>
      <c r="D40">
        <v>1</v>
      </c>
      <c r="E40">
        <v>1</v>
      </c>
      <c r="F40" t="b">
        <v>0</v>
      </c>
    </row>
    <row r="41" spans="1:6" x14ac:dyDescent="0.2">
      <c r="A41" t="s">
        <v>208</v>
      </c>
      <c r="B41" t="s">
        <v>212</v>
      </c>
      <c r="C41">
        <v>0.05</v>
      </c>
      <c r="D41">
        <v>1</v>
      </c>
      <c r="E41">
        <v>1</v>
      </c>
      <c r="F41" t="b">
        <v>0</v>
      </c>
    </row>
    <row r="42" spans="1:6" x14ac:dyDescent="0.2">
      <c r="A42" t="s">
        <v>208</v>
      </c>
      <c r="B42" t="s">
        <v>212</v>
      </c>
      <c r="C42">
        <v>0.1</v>
      </c>
      <c r="D42">
        <v>1</v>
      </c>
      <c r="E42">
        <v>1</v>
      </c>
      <c r="F42" t="b">
        <v>0</v>
      </c>
    </row>
    <row r="43" spans="1:6" x14ac:dyDescent="0.2">
      <c r="A43" t="s">
        <v>208</v>
      </c>
      <c r="B43" t="s">
        <v>213</v>
      </c>
      <c r="C43">
        <v>0</v>
      </c>
      <c r="D43">
        <v>1</v>
      </c>
      <c r="E43">
        <v>1</v>
      </c>
      <c r="F43" t="b">
        <v>0</v>
      </c>
    </row>
    <row r="44" spans="1:6" x14ac:dyDescent="0.2">
      <c r="A44" t="s">
        <v>208</v>
      </c>
      <c r="B44" t="s">
        <v>213</v>
      </c>
      <c r="C44">
        <v>0.01</v>
      </c>
      <c r="D44">
        <v>1</v>
      </c>
      <c r="E44">
        <v>1</v>
      </c>
      <c r="F44" t="b">
        <v>0</v>
      </c>
    </row>
    <row r="45" spans="1:6" x14ac:dyDescent="0.2">
      <c r="A45" t="s">
        <v>208</v>
      </c>
      <c r="B45" t="s">
        <v>213</v>
      </c>
      <c r="C45">
        <v>0.05</v>
      </c>
      <c r="D45">
        <v>1</v>
      </c>
      <c r="E45">
        <v>1</v>
      </c>
      <c r="F45" t="b">
        <v>0</v>
      </c>
    </row>
    <row r="46" spans="1:6" x14ac:dyDescent="0.2">
      <c r="A46" t="s">
        <v>208</v>
      </c>
      <c r="B46" t="s">
        <v>213</v>
      </c>
      <c r="C46">
        <v>0.1</v>
      </c>
      <c r="D46">
        <v>1</v>
      </c>
      <c r="E46">
        <v>1</v>
      </c>
      <c r="F46" t="b">
        <v>0</v>
      </c>
    </row>
    <row r="47" spans="1:6" x14ac:dyDescent="0.2">
      <c r="A47" t="s">
        <v>208</v>
      </c>
      <c r="B47" t="s">
        <v>214</v>
      </c>
      <c r="C47">
        <v>0</v>
      </c>
      <c r="D47">
        <v>1</v>
      </c>
      <c r="E47">
        <v>1</v>
      </c>
      <c r="F47" t="b">
        <v>0</v>
      </c>
    </row>
    <row r="48" spans="1:6" x14ac:dyDescent="0.2">
      <c r="A48" t="s">
        <v>208</v>
      </c>
      <c r="B48" t="s">
        <v>214</v>
      </c>
      <c r="C48">
        <v>0.01</v>
      </c>
      <c r="D48">
        <v>1</v>
      </c>
      <c r="E48">
        <v>1</v>
      </c>
      <c r="F48" t="b">
        <v>0</v>
      </c>
    </row>
    <row r="49" spans="1:6" x14ac:dyDescent="0.2">
      <c r="A49" t="s">
        <v>208</v>
      </c>
      <c r="B49" t="s">
        <v>214</v>
      </c>
      <c r="C49">
        <v>0.05</v>
      </c>
      <c r="D49">
        <v>1</v>
      </c>
      <c r="E49">
        <v>1</v>
      </c>
      <c r="F49" t="b">
        <v>0</v>
      </c>
    </row>
    <row r="50" spans="1:6" x14ac:dyDescent="0.2">
      <c r="A50" t="s">
        <v>208</v>
      </c>
      <c r="B50" t="s">
        <v>214</v>
      </c>
      <c r="C50">
        <v>0.1</v>
      </c>
      <c r="D50">
        <v>1</v>
      </c>
      <c r="E50">
        <v>1</v>
      </c>
      <c r="F50" t="b">
        <v>0</v>
      </c>
    </row>
    <row r="51" spans="1:6" x14ac:dyDescent="0.2">
      <c r="A51" t="s">
        <v>209</v>
      </c>
      <c r="B51" t="s">
        <v>212</v>
      </c>
      <c r="C51">
        <v>0</v>
      </c>
      <c r="D51">
        <v>1</v>
      </c>
      <c r="E51">
        <v>1</v>
      </c>
      <c r="F51" t="b">
        <v>0</v>
      </c>
    </row>
    <row r="52" spans="1:6" x14ac:dyDescent="0.2">
      <c r="A52" t="s">
        <v>209</v>
      </c>
      <c r="B52" t="s">
        <v>212</v>
      </c>
      <c r="C52">
        <v>0.01</v>
      </c>
      <c r="D52">
        <v>4</v>
      </c>
      <c r="E52">
        <v>4</v>
      </c>
      <c r="F52" t="b">
        <v>1</v>
      </c>
    </row>
    <row r="53" spans="1:6" x14ac:dyDescent="0.2">
      <c r="A53" t="s">
        <v>209</v>
      </c>
      <c r="B53" t="s">
        <v>212</v>
      </c>
      <c r="C53">
        <v>0.05</v>
      </c>
      <c r="D53">
        <v>7</v>
      </c>
      <c r="E53">
        <v>7</v>
      </c>
      <c r="F53" t="b">
        <v>1</v>
      </c>
    </row>
    <row r="54" spans="1:6" x14ac:dyDescent="0.2">
      <c r="A54" t="s">
        <v>209</v>
      </c>
      <c r="B54" t="s">
        <v>212</v>
      </c>
      <c r="C54">
        <v>0.1</v>
      </c>
      <c r="D54">
        <v>11</v>
      </c>
      <c r="E54">
        <v>11</v>
      </c>
      <c r="F54" t="b">
        <v>1</v>
      </c>
    </row>
    <row r="55" spans="1:6" x14ac:dyDescent="0.2">
      <c r="A55" t="s">
        <v>209</v>
      </c>
      <c r="B55" t="s">
        <v>213</v>
      </c>
      <c r="C55">
        <v>0</v>
      </c>
      <c r="D55">
        <v>1</v>
      </c>
      <c r="E55">
        <v>1</v>
      </c>
      <c r="F55" t="b">
        <v>0</v>
      </c>
    </row>
    <row r="56" spans="1:6" x14ac:dyDescent="0.2">
      <c r="A56" t="s">
        <v>209</v>
      </c>
      <c r="B56" t="s">
        <v>213</v>
      </c>
      <c r="C56">
        <v>0.01</v>
      </c>
      <c r="D56">
        <v>4</v>
      </c>
      <c r="E56">
        <v>4</v>
      </c>
      <c r="F56" t="b">
        <v>1</v>
      </c>
    </row>
    <row r="57" spans="1:6" x14ac:dyDescent="0.2">
      <c r="A57" t="s">
        <v>209</v>
      </c>
      <c r="B57" t="s">
        <v>213</v>
      </c>
      <c r="C57">
        <v>0.05</v>
      </c>
      <c r="D57">
        <v>6</v>
      </c>
      <c r="E57">
        <v>6</v>
      </c>
      <c r="F57" t="b">
        <v>1</v>
      </c>
    </row>
    <row r="58" spans="1:6" x14ac:dyDescent="0.2">
      <c r="A58" t="s">
        <v>209</v>
      </c>
      <c r="B58" t="s">
        <v>213</v>
      </c>
      <c r="C58">
        <v>0.1</v>
      </c>
      <c r="D58">
        <v>9</v>
      </c>
      <c r="E58">
        <v>9</v>
      </c>
      <c r="F58" t="b">
        <v>1</v>
      </c>
    </row>
    <row r="59" spans="1:6" x14ac:dyDescent="0.2">
      <c r="A59" t="s">
        <v>209</v>
      </c>
      <c r="B59" t="s">
        <v>214</v>
      </c>
      <c r="C59">
        <v>0</v>
      </c>
      <c r="D59">
        <v>1</v>
      </c>
      <c r="E59">
        <v>1</v>
      </c>
      <c r="F59" t="b">
        <v>0</v>
      </c>
    </row>
    <row r="60" spans="1:6" x14ac:dyDescent="0.2">
      <c r="A60" t="s">
        <v>209</v>
      </c>
      <c r="B60" t="s">
        <v>214</v>
      </c>
      <c r="C60">
        <v>0.01</v>
      </c>
      <c r="D60">
        <v>2</v>
      </c>
      <c r="E60">
        <v>2</v>
      </c>
      <c r="F60" t="b">
        <v>1</v>
      </c>
    </row>
    <row r="61" spans="1:6" x14ac:dyDescent="0.2">
      <c r="A61" t="s">
        <v>209</v>
      </c>
      <c r="B61" t="s">
        <v>214</v>
      </c>
      <c r="C61">
        <v>0.05</v>
      </c>
      <c r="D61">
        <v>2</v>
      </c>
      <c r="E61">
        <v>2</v>
      </c>
      <c r="F61" t="b">
        <v>1</v>
      </c>
    </row>
    <row r="62" spans="1:6" x14ac:dyDescent="0.2">
      <c r="A62" t="s">
        <v>209</v>
      </c>
      <c r="B62" t="s">
        <v>214</v>
      </c>
      <c r="C62">
        <v>0.1</v>
      </c>
      <c r="D62">
        <v>3</v>
      </c>
      <c r="E62">
        <v>3</v>
      </c>
      <c r="F62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61DF-F5E6-1140-8EC3-63B472CFD43F}">
  <dimension ref="A1:I121"/>
  <sheetViews>
    <sheetView tabSelected="1" workbookViewId="0">
      <selection activeCell="I44" sqref="I44"/>
    </sheetView>
  </sheetViews>
  <sheetFormatPr baseColWidth="10" defaultRowHeight="16" x14ac:dyDescent="0.2"/>
  <sheetData>
    <row r="1" spans="1:9" x14ac:dyDescent="0.2">
      <c r="A1" t="s">
        <v>14</v>
      </c>
      <c r="B1" t="s">
        <v>18</v>
      </c>
      <c r="C1" t="s">
        <v>20</v>
      </c>
      <c r="D1" t="s">
        <v>22</v>
      </c>
      <c r="E1" t="s">
        <v>27</v>
      </c>
      <c r="F1" t="s">
        <v>29</v>
      </c>
      <c r="G1" t="s">
        <v>202</v>
      </c>
      <c r="H1" t="s">
        <v>207</v>
      </c>
      <c r="I1" t="s">
        <v>176</v>
      </c>
    </row>
    <row r="2" spans="1:9" x14ac:dyDescent="0.2">
      <c r="A2" t="s">
        <v>203</v>
      </c>
      <c r="B2" t="s">
        <v>212</v>
      </c>
      <c r="C2" t="s">
        <v>2</v>
      </c>
      <c r="D2">
        <v>0</v>
      </c>
      <c r="E2">
        <v>3.7055958935525199E-2</v>
      </c>
      <c r="F2">
        <v>1</v>
      </c>
      <c r="G2" t="b">
        <v>0</v>
      </c>
      <c r="H2" t="b">
        <v>1</v>
      </c>
      <c r="I2" t="b">
        <v>0</v>
      </c>
    </row>
    <row r="3" spans="1:9" x14ac:dyDescent="0.2">
      <c r="A3" t="s">
        <v>203</v>
      </c>
      <c r="B3" t="s">
        <v>212</v>
      </c>
      <c r="C3" t="s">
        <v>4</v>
      </c>
      <c r="D3">
        <v>0</v>
      </c>
      <c r="E3" s="1" t="s">
        <v>7</v>
      </c>
      <c r="F3">
        <v>1</v>
      </c>
      <c r="G3" t="b">
        <v>0</v>
      </c>
      <c r="H3" t="b">
        <v>1</v>
      </c>
      <c r="I3" t="b">
        <v>0</v>
      </c>
    </row>
    <row r="4" spans="1:9" x14ac:dyDescent="0.2">
      <c r="A4" t="s">
        <v>203</v>
      </c>
      <c r="B4" t="s">
        <v>212</v>
      </c>
      <c r="C4" t="s">
        <v>2</v>
      </c>
      <c r="D4">
        <v>0.01</v>
      </c>
      <c r="E4" s="1" t="s">
        <v>8</v>
      </c>
      <c r="F4">
        <v>2</v>
      </c>
      <c r="G4" t="b">
        <v>1</v>
      </c>
      <c r="H4" t="b">
        <v>1</v>
      </c>
      <c r="I4" t="b">
        <v>0</v>
      </c>
    </row>
    <row r="5" spans="1:9" x14ac:dyDescent="0.2">
      <c r="A5" t="s">
        <v>203</v>
      </c>
      <c r="B5" t="s">
        <v>212</v>
      </c>
      <c r="C5" t="s">
        <v>4</v>
      </c>
      <c r="D5">
        <v>0.01</v>
      </c>
      <c r="E5">
        <v>4.9585749977268202E-2</v>
      </c>
      <c r="F5">
        <v>2</v>
      </c>
      <c r="G5" t="b">
        <v>1</v>
      </c>
      <c r="H5" t="b">
        <v>1</v>
      </c>
      <c r="I5" t="b">
        <v>0</v>
      </c>
    </row>
    <row r="6" spans="1:9" x14ac:dyDescent="0.2">
      <c r="A6" t="s">
        <v>203</v>
      </c>
      <c r="B6" t="s">
        <v>212</v>
      </c>
      <c r="C6" t="s">
        <v>2</v>
      </c>
      <c r="D6">
        <v>0.05</v>
      </c>
      <c r="E6" s="1" t="s">
        <v>9</v>
      </c>
      <c r="F6">
        <v>2</v>
      </c>
      <c r="G6" t="b">
        <v>1</v>
      </c>
      <c r="H6" t="b">
        <v>1</v>
      </c>
      <c r="I6" t="b">
        <v>0</v>
      </c>
    </row>
    <row r="7" spans="1:9" x14ac:dyDescent="0.2">
      <c r="A7" t="s">
        <v>203</v>
      </c>
      <c r="B7" t="s">
        <v>212</v>
      </c>
      <c r="C7" t="s">
        <v>4</v>
      </c>
      <c r="D7">
        <v>0.05</v>
      </c>
      <c r="E7">
        <v>4.8456458025611902E-2</v>
      </c>
      <c r="F7">
        <v>2</v>
      </c>
      <c r="G7" t="b">
        <v>1</v>
      </c>
      <c r="H7" t="b">
        <v>1</v>
      </c>
      <c r="I7" t="b">
        <v>0</v>
      </c>
    </row>
    <row r="8" spans="1:9" x14ac:dyDescent="0.2">
      <c r="A8" t="s">
        <v>203</v>
      </c>
      <c r="B8" t="s">
        <v>212</v>
      </c>
      <c r="C8" t="s">
        <v>2</v>
      </c>
      <c r="D8">
        <v>0.1</v>
      </c>
      <c r="E8" s="1" t="s">
        <v>11</v>
      </c>
      <c r="F8">
        <v>2</v>
      </c>
      <c r="G8" t="b">
        <v>1</v>
      </c>
      <c r="H8" t="b">
        <v>1</v>
      </c>
      <c r="I8" t="b">
        <v>0</v>
      </c>
    </row>
    <row r="9" spans="1:9" x14ac:dyDescent="0.2">
      <c r="A9" t="s">
        <v>203</v>
      </c>
      <c r="B9" t="s">
        <v>212</v>
      </c>
      <c r="C9" t="s">
        <v>4</v>
      </c>
      <c r="D9">
        <v>0.1</v>
      </c>
      <c r="E9" s="1" t="s">
        <v>13</v>
      </c>
      <c r="F9">
        <v>2</v>
      </c>
      <c r="G9" t="b">
        <v>1</v>
      </c>
      <c r="H9" t="b">
        <v>1</v>
      </c>
      <c r="I9" t="b">
        <v>0</v>
      </c>
    </row>
    <row r="10" spans="1:9" x14ac:dyDescent="0.2">
      <c r="A10" t="s">
        <v>203</v>
      </c>
      <c r="B10" t="s">
        <v>213</v>
      </c>
      <c r="C10" t="s">
        <v>2</v>
      </c>
      <c r="D10">
        <v>0</v>
      </c>
      <c r="E10">
        <v>1.6889291990082701E-2</v>
      </c>
      <c r="F10">
        <v>1</v>
      </c>
      <c r="G10" t="b">
        <v>0</v>
      </c>
      <c r="H10" t="b">
        <v>1</v>
      </c>
      <c r="I10" t="b">
        <v>0</v>
      </c>
    </row>
    <row r="11" spans="1:9" x14ac:dyDescent="0.2">
      <c r="A11" t="s">
        <v>203</v>
      </c>
      <c r="B11" t="s">
        <v>213</v>
      </c>
      <c r="C11" t="s">
        <v>4</v>
      </c>
      <c r="D11">
        <v>0</v>
      </c>
      <c r="E11" s="1" t="s">
        <v>33</v>
      </c>
      <c r="F11">
        <v>1</v>
      </c>
      <c r="G11" t="b">
        <v>0</v>
      </c>
      <c r="H11" t="b">
        <v>1</v>
      </c>
      <c r="I11" t="b">
        <v>0</v>
      </c>
    </row>
    <row r="12" spans="1:9" x14ac:dyDescent="0.2">
      <c r="A12" t="s">
        <v>203</v>
      </c>
      <c r="B12" t="s">
        <v>213</v>
      </c>
      <c r="C12" t="s">
        <v>2</v>
      </c>
      <c r="D12">
        <v>0.01</v>
      </c>
      <c r="E12">
        <v>1.46575000253506E-2</v>
      </c>
      <c r="F12">
        <v>2</v>
      </c>
      <c r="G12" t="b">
        <v>1</v>
      </c>
      <c r="H12" t="b">
        <v>1</v>
      </c>
      <c r="I12" t="b">
        <v>0</v>
      </c>
    </row>
    <row r="13" spans="1:9" x14ac:dyDescent="0.2">
      <c r="A13" t="s">
        <v>203</v>
      </c>
      <c r="B13" t="s">
        <v>213</v>
      </c>
      <c r="C13" t="s">
        <v>4</v>
      </c>
      <c r="D13">
        <v>0.01</v>
      </c>
      <c r="E13">
        <v>5.0780873978510499E-2</v>
      </c>
      <c r="F13">
        <v>2</v>
      </c>
      <c r="G13" t="b">
        <v>1</v>
      </c>
      <c r="H13" t="b">
        <v>1</v>
      </c>
      <c r="I13" t="b">
        <v>0</v>
      </c>
    </row>
    <row r="14" spans="1:9" x14ac:dyDescent="0.2">
      <c r="A14" t="s">
        <v>203</v>
      </c>
      <c r="B14" t="s">
        <v>213</v>
      </c>
      <c r="C14" t="s">
        <v>2</v>
      </c>
      <c r="D14">
        <v>0.05</v>
      </c>
      <c r="E14" s="1" t="s">
        <v>35</v>
      </c>
      <c r="F14">
        <v>2</v>
      </c>
      <c r="G14" t="b">
        <v>1</v>
      </c>
      <c r="H14" t="b">
        <v>1</v>
      </c>
      <c r="I14" t="b">
        <v>0</v>
      </c>
    </row>
    <row r="15" spans="1:9" x14ac:dyDescent="0.2">
      <c r="A15" t="s">
        <v>203</v>
      </c>
      <c r="B15" t="s">
        <v>213</v>
      </c>
      <c r="C15" t="s">
        <v>4</v>
      </c>
      <c r="D15">
        <v>0.05</v>
      </c>
      <c r="E15" s="1" t="s">
        <v>37</v>
      </c>
      <c r="F15">
        <v>2</v>
      </c>
      <c r="G15" t="b">
        <v>1</v>
      </c>
      <c r="H15" t="b">
        <v>1</v>
      </c>
      <c r="I15" t="b">
        <v>0</v>
      </c>
    </row>
    <row r="16" spans="1:9" x14ac:dyDescent="0.2">
      <c r="A16" t="s">
        <v>203</v>
      </c>
      <c r="B16" t="s">
        <v>213</v>
      </c>
      <c r="C16" t="s">
        <v>2</v>
      </c>
      <c r="D16">
        <v>0.1</v>
      </c>
      <c r="E16" s="1" t="s">
        <v>38</v>
      </c>
      <c r="F16">
        <v>2</v>
      </c>
      <c r="G16" t="b">
        <v>1</v>
      </c>
      <c r="H16" t="b">
        <v>1</v>
      </c>
      <c r="I16" t="b">
        <v>0</v>
      </c>
    </row>
    <row r="17" spans="1:9" x14ac:dyDescent="0.2">
      <c r="A17" t="s">
        <v>203</v>
      </c>
      <c r="B17" t="s">
        <v>213</v>
      </c>
      <c r="C17" t="s">
        <v>4</v>
      </c>
      <c r="D17">
        <v>0.1</v>
      </c>
      <c r="E17">
        <v>5.0620957976207102E-2</v>
      </c>
      <c r="F17">
        <v>2</v>
      </c>
      <c r="G17" t="b">
        <v>1</v>
      </c>
      <c r="H17" t="b">
        <v>1</v>
      </c>
      <c r="I17" t="b">
        <v>0</v>
      </c>
    </row>
    <row r="18" spans="1:9" x14ac:dyDescent="0.2">
      <c r="A18" t="s">
        <v>203</v>
      </c>
      <c r="B18" t="s">
        <v>214</v>
      </c>
      <c r="C18" t="s">
        <v>2</v>
      </c>
      <c r="D18">
        <v>0</v>
      </c>
      <c r="E18" s="1" t="s">
        <v>178</v>
      </c>
      <c r="F18">
        <v>1</v>
      </c>
      <c r="G18" t="b">
        <v>0</v>
      </c>
      <c r="H18" t="b">
        <v>1</v>
      </c>
      <c r="I18" t="b">
        <v>0</v>
      </c>
    </row>
    <row r="19" spans="1:9" x14ac:dyDescent="0.2">
      <c r="A19" t="s">
        <v>203</v>
      </c>
      <c r="B19" t="s">
        <v>214</v>
      </c>
      <c r="C19" t="s">
        <v>4</v>
      </c>
      <c r="D19">
        <v>0</v>
      </c>
      <c r="E19">
        <v>5.4256041999906301E-2</v>
      </c>
      <c r="F19">
        <v>1</v>
      </c>
      <c r="G19" t="b">
        <v>0</v>
      </c>
      <c r="H19" t="b">
        <v>1</v>
      </c>
      <c r="I19" t="b">
        <v>0</v>
      </c>
    </row>
    <row r="20" spans="1:9" x14ac:dyDescent="0.2">
      <c r="A20" t="s">
        <v>203</v>
      </c>
      <c r="B20" t="s">
        <v>214</v>
      </c>
      <c r="C20" t="s">
        <v>2</v>
      </c>
      <c r="D20">
        <v>0.01</v>
      </c>
      <c r="E20">
        <v>1.7863001034129401E-2</v>
      </c>
      <c r="F20">
        <v>2</v>
      </c>
      <c r="G20" t="b">
        <v>1</v>
      </c>
      <c r="H20" t="b">
        <v>1</v>
      </c>
      <c r="I20" t="b">
        <v>0</v>
      </c>
    </row>
    <row r="21" spans="1:9" x14ac:dyDescent="0.2">
      <c r="A21" t="s">
        <v>203</v>
      </c>
      <c r="B21" t="s">
        <v>214</v>
      </c>
      <c r="C21" t="s">
        <v>4</v>
      </c>
      <c r="D21">
        <v>0.01</v>
      </c>
      <c r="E21">
        <v>5.6644999946001903E-2</v>
      </c>
      <c r="F21">
        <v>2</v>
      </c>
      <c r="G21" t="b">
        <v>1</v>
      </c>
      <c r="H21" t="b">
        <v>1</v>
      </c>
      <c r="I21" t="b">
        <v>0</v>
      </c>
    </row>
    <row r="22" spans="1:9" x14ac:dyDescent="0.2">
      <c r="A22" t="s">
        <v>203</v>
      </c>
      <c r="B22" t="s">
        <v>214</v>
      </c>
      <c r="C22" t="s">
        <v>2</v>
      </c>
      <c r="D22">
        <v>0.05</v>
      </c>
      <c r="E22">
        <v>3.8439958007074802E-2</v>
      </c>
      <c r="F22">
        <v>4</v>
      </c>
      <c r="G22" t="b">
        <v>1</v>
      </c>
      <c r="H22" t="b">
        <v>1</v>
      </c>
      <c r="I22" t="b">
        <v>0</v>
      </c>
    </row>
    <row r="23" spans="1:9" x14ac:dyDescent="0.2">
      <c r="A23" t="s">
        <v>203</v>
      </c>
      <c r="B23" t="s">
        <v>214</v>
      </c>
      <c r="C23" t="s">
        <v>4</v>
      </c>
      <c r="D23">
        <v>0.05</v>
      </c>
      <c r="E23" s="1" t="s">
        <v>184</v>
      </c>
      <c r="F23">
        <v>4</v>
      </c>
      <c r="G23" t="b">
        <v>1</v>
      </c>
      <c r="H23" t="b">
        <v>1</v>
      </c>
      <c r="I23" t="b">
        <v>0</v>
      </c>
    </row>
    <row r="24" spans="1:9" x14ac:dyDescent="0.2">
      <c r="A24" t="s">
        <v>203</v>
      </c>
      <c r="B24" t="s">
        <v>214</v>
      </c>
      <c r="C24" t="s">
        <v>2</v>
      </c>
      <c r="D24">
        <v>0.1</v>
      </c>
      <c r="E24" s="1" t="s">
        <v>186</v>
      </c>
      <c r="F24">
        <v>4</v>
      </c>
      <c r="G24" t="b">
        <v>1</v>
      </c>
      <c r="H24" t="b">
        <v>1</v>
      </c>
      <c r="I24" t="b">
        <v>0</v>
      </c>
    </row>
    <row r="25" spans="1:9" x14ac:dyDescent="0.2">
      <c r="A25" t="s">
        <v>203</v>
      </c>
      <c r="B25" t="s">
        <v>214</v>
      </c>
      <c r="C25" t="s">
        <v>4</v>
      </c>
      <c r="D25">
        <v>0.1</v>
      </c>
      <c r="E25">
        <v>5.4334207961801398E-2</v>
      </c>
      <c r="F25">
        <v>4</v>
      </c>
      <c r="G25" t="b">
        <v>1</v>
      </c>
      <c r="H25" t="b">
        <v>1</v>
      </c>
      <c r="I25" t="b">
        <v>0</v>
      </c>
    </row>
    <row r="26" spans="1:9" x14ac:dyDescent="0.2">
      <c r="A26" t="s">
        <v>204</v>
      </c>
      <c r="B26" t="s">
        <v>212</v>
      </c>
      <c r="C26" t="s">
        <v>2</v>
      </c>
      <c r="D26">
        <v>0</v>
      </c>
      <c r="E26" s="1" t="s">
        <v>42</v>
      </c>
      <c r="F26">
        <v>1</v>
      </c>
      <c r="G26" t="b">
        <v>0</v>
      </c>
      <c r="H26" t="b">
        <v>1</v>
      </c>
      <c r="I26" t="b">
        <v>0</v>
      </c>
    </row>
    <row r="27" spans="1:9" x14ac:dyDescent="0.2">
      <c r="A27" t="s">
        <v>204</v>
      </c>
      <c r="B27" t="s">
        <v>212</v>
      </c>
      <c r="C27" t="s">
        <v>4</v>
      </c>
      <c r="D27">
        <v>0</v>
      </c>
      <c r="E27">
        <v>2.50757079920731E-2</v>
      </c>
      <c r="F27">
        <v>1</v>
      </c>
      <c r="G27" t="b">
        <v>0</v>
      </c>
      <c r="H27" t="b">
        <v>1</v>
      </c>
      <c r="I27" t="b">
        <v>0</v>
      </c>
    </row>
    <row r="28" spans="1:9" x14ac:dyDescent="0.2">
      <c r="A28" t="s">
        <v>204</v>
      </c>
      <c r="B28" t="s">
        <v>212</v>
      </c>
      <c r="C28" t="s">
        <v>2</v>
      </c>
      <c r="D28">
        <v>0.01</v>
      </c>
      <c r="E28">
        <v>1.4106084010563701E-2</v>
      </c>
      <c r="F28">
        <v>2</v>
      </c>
      <c r="G28" t="b">
        <v>1</v>
      </c>
      <c r="H28" t="b">
        <v>1</v>
      </c>
      <c r="I28" t="b">
        <v>0</v>
      </c>
    </row>
    <row r="29" spans="1:9" x14ac:dyDescent="0.2">
      <c r="A29" t="s">
        <v>204</v>
      </c>
      <c r="B29" t="s">
        <v>212</v>
      </c>
      <c r="C29" t="s">
        <v>4</v>
      </c>
      <c r="D29">
        <v>0.01</v>
      </c>
      <c r="E29" s="1" t="s">
        <v>46</v>
      </c>
      <c r="F29">
        <v>2</v>
      </c>
      <c r="G29" t="b">
        <v>1</v>
      </c>
      <c r="H29" t="b">
        <v>1</v>
      </c>
      <c r="I29" t="b">
        <v>0</v>
      </c>
    </row>
    <row r="30" spans="1:9" x14ac:dyDescent="0.2">
      <c r="A30" t="s">
        <v>204</v>
      </c>
      <c r="B30" t="s">
        <v>212</v>
      </c>
      <c r="C30" t="s">
        <v>2</v>
      </c>
      <c r="D30">
        <v>0.05</v>
      </c>
      <c r="E30" s="1" t="s">
        <v>47</v>
      </c>
      <c r="F30">
        <v>2</v>
      </c>
      <c r="G30" t="b">
        <v>1</v>
      </c>
      <c r="H30" t="b">
        <v>1</v>
      </c>
      <c r="I30" t="b">
        <v>0</v>
      </c>
    </row>
    <row r="31" spans="1:9" x14ac:dyDescent="0.2">
      <c r="A31" t="s">
        <v>204</v>
      </c>
      <c r="B31" t="s">
        <v>212</v>
      </c>
      <c r="C31" t="s">
        <v>4</v>
      </c>
      <c r="D31">
        <v>0.05</v>
      </c>
      <c r="E31">
        <v>2.8001042024698101E-2</v>
      </c>
      <c r="F31">
        <v>2</v>
      </c>
      <c r="G31" t="b">
        <v>1</v>
      </c>
      <c r="H31" t="b">
        <v>1</v>
      </c>
      <c r="I31" t="b">
        <v>0</v>
      </c>
    </row>
    <row r="32" spans="1:9" x14ac:dyDescent="0.2">
      <c r="A32" t="s">
        <v>204</v>
      </c>
      <c r="B32" t="s">
        <v>212</v>
      </c>
      <c r="C32" t="s">
        <v>2</v>
      </c>
      <c r="D32">
        <v>0.1</v>
      </c>
      <c r="E32">
        <v>1.3785000017378399E-2</v>
      </c>
      <c r="F32">
        <v>2</v>
      </c>
      <c r="G32" t="b">
        <v>1</v>
      </c>
      <c r="H32" t="b">
        <v>1</v>
      </c>
      <c r="I32" t="b">
        <v>0</v>
      </c>
    </row>
    <row r="33" spans="1:9" x14ac:dyDescent="0.2">
      <c r="A33" t="s">
        <v>204</v>
      </c>
      <c r="B33" t="s">
        <v>212</v>
      </c>
      <c r="C33" t="s">
        <v>4</v>
      </c>
      <c r="D33">
        <v>0.1</v>
      </c>
      <c r="E33" s="1" t="s">
        <v>51</v>
      </c>
      <c r="F33">
        <v>2</v>
      </c>
      <c r="G33" t="b">
        <v>1</v>
      </c>
      <c r="H33" t="b">
        <v>1</v>
      </c>
      <c r="I33" t="b">
        <v>0</v>
      </c>
    </row>
    <row r="34" spans="1:9" x14ac:dyDescent="0.2">
      <c r="A34" t="s">
        <v>204</v>
      </c>
      <c r="B34" t="s">
        <v>213</v>
      </c>
      <c r="C34" t="s">
        <v>2</v>
      </c>
      <c r="D34">
        <v>0</v>
      </c>
      <c r="E34" s="1" t="s">
        <v>211</v>
      </c>
      <c r="F34">
        <v>1</v>
      </c>
      <c r="G34" t="b">
        <v>0</v>
      </c>
      <c r="H34" t="b">
        <v>1</v>
      </c>
      <c r="I34" t="b">
        <v>0</v>
      </c>
    </row>
    <row r="35" spans="1:9" x14ac:dyDescent="0.2">
      <c r="A35" t="s">
        <v>204</v>
      </c>
      <c r="B35" t="s">
        <v>213</v>
      </c>
      <c r="C35" t="s">
        <v>4</v>
      </c>
      <c r="D35">
        <v>0</v>
      </c>
      <c r="E35" s="1" t="s">
        <v>53</v>
      </c>
      <c r="F35">
        <v>1</v>
      </c>
      <c r="G35" t="b">
        <v>0</v>
      </c>
      <c r="H35" t="b">
        <v>1</v>
      </c>
      <c r="I35" t="b">
        <v>0</v>
      </c>
    </row>
    <row r="36" spans="1:9" x14ac:dyDescent="0.2">
      <c r="A36" t="s">
        <v>204</v>
      </c>
      <c r="B36" t="s">
        <v>213</v>
      </c>
      <c r="C36" t="s">
        <v>2</v>
      </c>
      <c r="D36">
        <v>0.01</v>
      </c>
      <c r="E36" s="1" t="s">
        <v>55</v>
      </c>
      <c r="F36">
        <v>2</v>
      </c>
      <c r="G36" t="b">
        <v>1</v>
      </c>
      <c r="H36" t="b">
        <v>1</v>
      </c>
      <c r="I36" t="b">
        <v>0</v>
      </c>
    </row>
    <row r="37" spans="1:9" x14ac:dyDescent="0.2">
      <c r="A37" t="s">
        <v>204</v>
      </c>
      <c r="B37" t="s">
        <v>213</v>
      </c>
      <c r="C37" t="s">
        <v>4</v>
      </c>
      <c r="D37">
        <v>0.01</v>
      </c>
      <c r="E37">
        <v>3.7759375001769499E-2</v>
      </c>
      <c r="F37">
        <v>2</v>
      </c>
      <c r="G37" t="b">
        <v>1</v>
      </c>
      <c r="H37" t="b">
        <v>1</v>
      </c>
      <c r="I37" t="b">
        <v>0</v>
      </c>
    </row>
    <row r="38" spans="1:9" x14ac:dyDescent="0.2">
      <c r="A38" t="s">
        <v>204</v>
      </c>
      <c r="B38" t="s">
        <v>213</v>
      </c>
      <c r="C38" t="s">
        <v>2</v>
      </c>
      <c r="D38">
        <v>0.05</v>
      </c>
      <c r="E38" s="1" t="s">
        <v>59</v>
      </c>
      <c r="F38">
        <v>2</v>
      </c>
      <c r="G38" t="b">
        <v>1</v>
      </c>
      <c r="H38" t="b">
        <v>1</v>
      </c>
      <c r="I38" t="b">
        <v>0</v>
      </c>
    </row>
    <row r="39" spans="1:9" x14ac:dyDescent="0.2">
      <c r="A39" t="s">
        <v>204</v>
      </c>
      <c r="B39" t="s">
        <v>213</v>
      </c>
      <c r="C39" t="s">
        <v>4</v>
      </c>
      <c r="D39">
        <v>0.05</v>
      </c>
      <c r="E39">
        <v>3.4348998975474297E-2</v>
      </c>
      <c r="F39">
        <v>2</v>
      </c>
      <c r="G39" t="b">
        <v>1</v>
      </c>
      <c r="H39" t="b">
        <v>1</v>
      </c>
      <c r="I39" t="b">
        <v>0</v>
      </c>
    </row>
    <row r="40" spans="1:9" x14ac:dyDescent="0.2">
      <c r="A40" t="s">
        <v>204</v>
      </c>
      <c r="B40" t="s">
        <v>213</v>
      </c>
      <c r="C40" t="s">
        <v>2</v>
      </c>
      <c r="D40">
        <v>0.1</v>
      </c>
      <c r="E40" s="1" t="s">
        <v>62</v>
      </c>
      <c r="F40">
        <v>2</v>
      </c>
      <c r="G40" t="b">
        <v>1</v>
      </c>
      <c r="H40" t="b">
        <v>1</v>
      </c>
      <c r="I40" t="b">
        <v>0</v>
      </c>
    </row>
    <row r="41" spans="1:9" x14ac:dyDescent="0.2">
      <c r="A41" t="s">
        <v>204</v>
      </c>
      <c r="B41" t="s">
        <v>213</v>
      </c>
      <c r="C41" t="s">
        <v>4</v>
      </c>
      <c r="D41">
        <v>0.1</v>
      </c>
      <c r="E41">
        <v>3.3988166949711698E-2</v>
      </c>
      <c r="F41">
        <v>2</v>
      </c>
      <c r="G41" t="b">
        <v>1</v>
      </c>
      <c r="H41" t="b">
        <v>1</v>
      </c>
      <c r="I41" t="b">
        <v>0</v>
      </c>
    </row>
    <row r="42" spans="1:9" x14ac:dyDescent="0.2">
      <c r="A42" t="s">
        <v>204</v>
      </c>
      <c r="B42" t="s">
        <v>214</v>
      </c>
      <c r="C42" t="s">
        <v>2</v>
      </c>
      <c r="D42">
        <v>0</v>
      </c>
      <c r="E42" s="1" t="s">
        <v>189</v>
      </c>
      <c r="F42">
        <v>1</v>
      </c>
      <c r="G42" t="b">
        <v>0</v>
      </c>
      <c r="H42" t="b">
        <v>1</v>
      </c>
      <c r="I42" t="b">
        <v>0</v>
      </c>
    </row>
    <row r="43" spans="1:9" x14ac:dyDescent="0.2">
      <c r="A43" t="s">
        <v>204</v>
      </c>
      <c r="B43" t="s">
        <v>214</v>
      </c>
      <c r="C43" t="s">
        <v>4</v>
      </c>
      <c r="D43">
        <v>0</v>
      </c>
      <c r="E43">
        <v>3.4423625038470997E-2</v>
      </c>
      <c r="F43">
        <v>1</v>
      </c>
      <c r="G43" t="b">
        <v>0</v>
      </c>
      <c r="H43" t="b">
        <v>1</v>
      </c>
      <c r="I43" t="b">
        <v>0</v>
      </c>
    </row>
    <row r="44" spans="1:9" x14ac:dyDescent="0.2">
      <c r="A44" t="s">
        <v>204</v>
      </c>
      <c r="B44" t="s">
        <v>214</v>
      </c>
      <c r="C44" t="s">
        <v>2</v>
      </c>
      <c r="D44">
        <v>0.01</v>
      </c>
      <c r="E44" s="1" t="s">
        <v>193</v>
      </c>
      <c r="F44">
        <v>2</v>
      </c>
      <c r="G44" t="b">
        <v>1</v>
      </c>
      <c r="H44" t="b">
        <v>1</v>
      </c>
      <c r="I44" t="b">
        <v>0</v>
      </c>
    </row>
    <row r="45" spans="1:9" x14ac:dyDescent="0.2">
      <c r="A45" t="s">
        <v>204</v>
      </c>
      <c r="B45" t="s">
        <v>214</v>
      </c>
      <c r="C45" t="s">
        <v>4</v>
      </c>
      <c r="D45">
        <v>0.01</v>
      </c>
      <c r="E45">
        <v>4.0525791060645099E-2</v>
      </c>
      <c r="F45">
        <v>2</v>
      </c>
      <c r="G45" t="b">
        <v>1</v>
      </c>
      <c r="H45" t="b">
        <v>1</v>
      </c>
      <c r="I45" t="b">
        <v>0</v>
      </c>
    </row>
    <row r="46" spans="1:9" x14ac:dyDescent="0.2">
      <c r="A46" t="s">
        <v>204</v>
      </c>
      <c r="B46" t="s">
        <v>214</v>
      </c>
      <c r="C46" t="s">
        <v>2</v>
      </c>
      <c r="D46">
        <v>0.05</v>
      </c>
      <c r="E46" s="1" t="s">
        <v>197</v>
      </c>
      <c r="F46">
        <v>2</v>
      </c>
      <c r="G46" t="b">
        <v>1</v>
      </c>
      <c r="H46" t="b">
        <v>1</v>
      </c>
      <c r="I46" t="b">
        <v>0</v>
      </c>
    </row>
    <row r="47" spans="1:9" x14ac:dyDescent="0.2">
      <c r="A47" t="s">
        <v>204</v>
      </c>
      <c r="B47" t="s">
        <v>214</v>
      </c>
      <c r="C47" t="s">
        <v>4</v>
      </c>
      <c r="D47">
        <v>0.05</v>
      </c>
      <c r="E47">
        <v>3.9519459009170498E-2</v>
      </c>
      <c r="F47">
        <v>2</v>
      </c>
      <c r="G47" t="b">
        <v>1</v>
      </c>
      <c r="H47" t="b">
        <v>1</v>
      </c>
      <c r="I47" t="b">
        <v>0</v>
      </c>
    </row>
    <row r="48" spans="1:9" x14ac:dyDescent="0.2">
      <c r="A48" t="s">
        <v>204</v>
      </c>
      <c r="B48" t="s">
        <v>214</v>
      </c>
      <c r="C48" t="s">
        <v>2</v>
      </c>
      <c r="D48">
        <v>0.1</v>
      </c>
      <c r="E48" s="1" t="s">
        <v>199</v>
      </c>
      <c r="F48">
        <v>2</v>
      </c>
      <c r="G48" t="b">
        <v>1</v>
      </c>
      <c r="H48" t="b">
        <v>1</v>
      </c>
      <c r="I48" t="b">
        <v>0</v>
      </c>
    </row>
    <row r="49" spans="1:9" x14ac:dyDescent="0.2">
      <c r="A49" t="s">
        <v>204</v>
      </c>
      <c r="B49" t="s">
        <v>214</v>
      </c>
      <c r="C49" t="s">
        <v>4</v>
      </c>
      <c r="D49">
        <v>0.1</v>
      </c>
      <c r="E49" s="1" t="s">
        <v>201</v>
      </c>
      <c r="F49">
        <v>2</v>
      </c>
      <c r="G49" t="b">
        <v>1</v>
      </c>
      <c r="H49" t="b">
        <v>1</v>
      </c>
      <c r="I49" t="b">
        <v>0</v>
      </c>
    </row>
    <row r="50" spans="1:9" x14ac:dyDescent="0.2">
      <c r="A50" t="s">
        <v>205</v>
      </c>
      <c r="B50" t="s">
        <v>212</v>
      </c>
      <c r="C50" t="s">
        <v>2</v>
      </c>
      <c r="D50">
        <v>0</v>
      </c>
      <c r="E50">
        <v>2.84809580189175E-2</v>
      </c>
      <c r="F50">
        <v>1</v>
      </c>
      <c r="G50" t="b">
        <v>0</v>
      </c>
      <c r="H50" t="b">
        <v>1</v>
      </c>
      <c r="I50" t="b">
        <v>0</v>
      </c>
    </row>
    <row r="51" spans="1:9" x14ac:dyDescent="0.2">
      <c r="A51" t="s">
        <v>205</v>
      </c>
      <c r="B51" t="s">
        <v>212</v>
      </c>
      <c r="C51" t="s">
        <v>4</v>
      </c>
      <c r="D51">
        <v>0</v>
      </c>
      <c r="E51" s="1" t="s">
        <v>68</v>
      </c>
      <c r="F51">
        <v>1</v>
      </c>
      <c r="G51" t="b">
        <v>0</v>
      </c>
      <c r="H51" t="b">
        <v>1</v>
      </c>
      <c r="I51" t="b">
        <v>0</v>
      </c>
    </row>
    <row r="52" spans="1:9" x14ac:dyDescent="0.2">
      <c r="A52" t="s">
        <v>205</v>
      </c>
      <c r="B52" t="s">
        <v>212</v>
      </c>
      <c r="C52" t="s">
        <v>2</v>
      </c>
      <c r="D52">
        <v>0.01</v>
      </c>
      <c r="E52" s="1" t="s">
        <v>70</v>
      </c>
      <c r="F52">
        <v>4</v>
      </c>
      <c r="G52" t="b">
        <v>1</v>
      </c>
      <c r="H52" t="b">
        <v>1</v>
      </c>
      <c r="I52" t="b">
        <v>0</v>
      </c>
    </row>
    <row r="53" spans="1:9" x14ac:dyDescent="0.2">
      <c r="A53" t="s">
        <v>205</v>
      </c>
      <c r="B53" t="s">
        <v>212</v>
      </c>
      <c r="C53" t="s">
        <v>4</v>
      </c>
      <c r="D53">
        <v>0.01</v>
      </c>
      <c r="E53" s="1" t="s">
        <v>73</v>
      </c>
      <c r="F53">
        <v>4</v>
      </c>
      <c r="G53" t="b">
        <v>1</v>
      </c>
      <c r="H53" t="b">
        <v>0</v>
      </c>
      <c r="I53" t="b">
        <v>0</v>
      </c>
    </row>
    <row r="54" spans="1:9" x14ac:dyDescent="0.2">
      <c r="A54" t="s">
        <v>205</v>
      </c>
      <c r="B54" t="s">
        <v>212</v>
      </c>
      <c r="C54" t="s">
        <v>2</v>
      </c>
      <c r="D54">
        <v>0.05</v>
      </c>
      <c r="E54" s="1" t="s">
        <v>75</v>
      </c>
      <c r="F54">
        <v>4</v>
      </c>
      <c r="G54" t="b">
        <v>1</v>
      </c>
      <c r="H54" t="b">
        <v>1</v>
      </c>
      <c r="I54" t="b">
        <v>0</v>
      </c>
    </row>
    <row r="55" spans="1:9" x14ac:dyDescent="0.2">
      <c r="A55" t="s">
        <v>205</v>
      </c>
      <c r="B55" t="s">
        <v>212</v>
      </c>
      <c r="C55" t="s">
        <v>4</v>
      </c>
      <c r="D55">
        <v>0.05</v>
      </c>
      <c r="E55" t="s">
        <v>76</v>
      </c>
      <c r="F55">
        <v>1000</v>
      </c>
      <c r="G55" t="b">
        <v>1</v>
      </c>
      <c r="H55" t="b">
        <v>0</v>
      </c>
      <c r="I55" t="b">
        <v>1</v>
      </c>
    </row>
    <row r="56" spans="1:9" x14ac:dyDescent="0.2">
      <c r="A56" t="s">
        <v>205</v>
      </c>
      <c r="B56" t="s">
        <v>212</v>
      </c>
      <c r="C56" t="s">
        <v>2</v>
      </c>
      <c r="D56">
        <v>0.1</v>
      </c>
      <c r="E56">
        <v>2.84809580189175E-2</v>
      </c>
      <c r="F56">
        <v>1</v>
      </c>
      <c r="G56" t="b">
        <v>0</v>
      </c>
      <c r="H56" t="b">
        <v>1</v>
      </c>
      <c r="I56" t="b">
        <v>0</v>
      </c>
    </row>
    <row r="57" spans="1:9" x14ac:dyDescent="0.2">
      <c r="A57" t="s">
        <v>205</v>
      </c>
      <c r="B57" t="s">
        <v>212</v>
      </c>
      <c r="C57" t="s">
        <v>4</v>
      </c>
      <c r="D57">
        <v>0.1</v>
      </c>
      <c r="E57" s="1" t="s">
        <v>68</v>
      </c>
      <c r="F57">
        <v>1</v>
      </c>
      <c r="G57" t="b">
        <v>0</v>
      </c>
      <c r="H57" t="b">
        <v>1</v>
      </c>
      <c r="I57" t="b">
        <v>1</v>
      </c>
    </row>
    <row r="58" spans="1:9" x14ac:dyDescent="0.2">
      <c r="A58" t="s">
        <v>205</v>
      </c>
      <c r="B58" t="s">
        <v>213</v>
      </c>
      <c r="C58" t="s">
        <v>2</v>
      </c>
      <c r="D58">
        <v>0</v>
      </c>
      <c r="E58" s="1" t="s">
        <v>78</v>
      </c>
      <c r="F58">
        <v>1</v>
      </c>
      <c r="G58" t="b">
        <v>0</v>
      </c>
      <c r="H58" t="b">
        <v>1</v>
      </c>
      <c r="I58" t="b">
        <v>0</v>
      </c>
    </row>
    <row r="59" spans="1:9" x14ac:dyDescent="0.2">
      <c r="A59" t="s">
        <v>205</v>
      </c>
      <c r="B59" t="s">
        <v>213</v>
      </c>
      <c r="C59" t="s">
        <v>4</v>
      </c>
      <c r="D59">
        <v>0</v>
      </c>
      <c r="E59" s="1" t="s">
        <v>80</v>
      </c>
      <c r="F59">
        <v>1</v>
      </c>
      <c r="G59" t="b">
        <v>0</v>
      </c>
      <c r="H59" t="b">
        <v>1</v>
      </c>
      <c r="I59" t="b">
        <v>0</v>
      </c>
    </row>
    <row r="60" spans="1:9" x14ac:dyDescent="0.2">
      <c r="A60" t="s">
        <v>205</v>
      </c>
      <c r="B60" t="s">
        <v>213</v>
      </c>
      <c r="C60" t="s">
        <v>2</v>
      </c>
      <c r="D60">
        <v>0.01</v>
      </c>
      <c r="E60" s="1" t="s">
        <v>83</v>
      </c>
      <c r="F60">
        <v>4</v>
      </c>
      <c r="G60" t="b">
        <v>1</v>
      </c>
      <c r="H60" t="b">
        <v>1</v>
      </c>
      <c r="I60" t="b">
        <v>0</v>
      </c>
    </row>
    <row r="61" spans="1:9" x14ac:dyDescent="0.2">
      <c r="A61" t="s">
        <v>205</v>
      </c>
      <c r="B61" t="s">
        <v>213</v>
      </c>
      <c r="C61" t="s">
        <v>4</v>
      </c>
      <c r="D61">
        <v>0.01</v>
      </c>
      <c r="E61" s="1" t="s">
        <v>85</v>
      </c>
      <c r="F61">
        <v>4</v>
      </c>
      <c r="G61" t="b">
        <v>1</v>
      </c>
      <c r="H61" t="b">
        <v>0</v>
      </c>
      <c r="I61" t="b">
        <v>0</v>
      </c>
    </row>
    <row r="62" spans="1:9" x14ac:dyDescent="0.2">
      <c r="A62" t="s">
        <v>205</v>
      </c>
      <c r="B62" t="s">
        <v>213</v>
      </c>
      <c r="C62" t="s">
        <v>2</v>
      </c>
      <c r="D62">
        <v>0.05</v>
      </c>
      <c r="E62" s="1" t="s">
        <v>87</v>
      </c>
      <c r="F62">
        <v>4</v>
      </c>
      <c r="G62" t="b">
        <v>1</v>
      </c>
      <c r="H62" t="b">
        <v>1</v>
      </c>
      <c r="I62" t="b">
        <v>0</v>
      </c>
    </row>
    <row r="63" spans="1:9" x14ac:dyDescent="0.2">
      <c r="A63" t="s">
        <v>205</v>
      </c>
      <c r="B63" t="s">
        <v>213</v>
      </c>
      <c r="C63" t="s">
        <v>4</v>
      </c>
      <c r="D63">
        <v>0.05</v>
      </c>
      <c r="E63" t="s">
        <v>76</v>
      </c>
      <c r="F63">
        <v>1000</v>
      </c>
      <c r="G63" t="b">
        <v>1</v>
      </c>
      <c r="H63" t="b">
        <v>0</v>
      </c>
      <c r="I63" t="b">
        <v>1</v>
      </c>
    </row>
    <row r="64" spans="1:9" x14ac:dyDescent="0.2">
      <c r="A64" t="s">
        <v>205</v>
      </c>
      <c r="B64" t="s">
        <v>213</v>
      </c>
      <c r="C64" t="s">
        <v>2</v>
      </c>
      <c r="D64">
        <v>0.1</v>
      </c>
      <c r="E64" s="1" t="s">
        <v>89</v>
      </c>
      <c r="F64">
        <v>7</v>
      </c>
      <c r="G64" t="b">
        <v>1</v>
      </c>
      <c r="H64" t="b">
        <v>1</v>
      </c>
      <c r="I64" t="b">
        <v>0</v>
      </c>
    </row>
    <row r="65" spans="1:9" x14ac:dyDescent="0.2">
      <c r="A65" t="s">
        <v>205</v>
      </c>
      <c r="B65" t="s">
        <v>213</v>
      </c>
      <c r="C65" t="s">
        <v>4</v>
      </c>
      <c r="D65">
        <v>0.1</v>
      </c>
      <c r="E65" t="s">
        <v>76</v>
      </c>
      <c r="F65">
        <v>1000</v>
      </c>
      <c r="G65" t="b">
        <v>1</v>
      </c>
      <c r="H65" t="b">
        <v>0</v>
      </c>
      <c r="I65" t="b">
        <v>1</v>
      </c>
    </row>
    <row r="66" spans="1:9" x14ac:dyDescent="0.2">
      <c r="A66" t="s">
        <v>205</v>
      </c>
      <c r="B66" t="s">
        <v>214</v>
      </c>
      <c r="C66" t="s">
        <v>2</v>
      </c>
      <c r="D66">
        <v>0</v>
      </c>
      <c r="E66">
        <v>3.2798041997011702E-2</v>
      </c>
      <c r="F66">
        <v>1</v>
      </c>
      <c r="G66" t="b">
        <v>0</v>
      </c>
      <c r="H66" t="b">
        <v>1</v>
      </c>
      <c r="I66" t="b">
        <v>0</v>
      </c>
    </row>
    <row r="67" spans="1:9" x14ac:dyDescent="0.2">
      <c r="A67" t="s">
        <v>205</v>
      </c>
      <c r="B67" t="s">
        <v>214</v>
      </c>
      <c r="C67" t="s">
        <v>4</v>
      </c>
      <c r="D67">
        <v>0</v>
      </c>
      <c r="E67" s="1" t="s">
        <v>94</v>
      </c>
      <c r="F67">
        <v>1</v>
      </c>
      <c r="G67" t="b">
        <v>0</v>
      </c>
      <c r="H67" t="b">
        <v>1</v>
      </c>
      <c r="I67" t="b">
        <v>1</v>
      </c>
    </row>
    <row r="68" spans="1:9" x14ac:dyDescent="0.2">
      <c r="A68" t="s">
        <v>205</v>
      </c>
      <c r="B68" t="s">
        <v>214</v>
      </c>
      <c r="C68" t="s">
        <v>2</v>
      </c>
      <c r="D68">
        <v>0.01</v>
      </c>
      <c r="E68" s="1" t="s">
        <v>96</v>
      </c>
      <c r="F68">
        <v>4</v>
      </c>
      <c r="G68" t="b">
        <v>1</v>
      </c>
      <c r="H68" t="b">
        <v>1</v>
      </c>
      <c r="I68" t="b">
        <v>0</v>
      </c>
    </row>
    <row r="69" spans="1:9" x14ac:dyDescent="0.2">
      <c r="A69" t="s">
        <v>205</v>
      </c>
      <c r="B69" t="s">
        <v>214</v>
      </c>
      <c r="C69" t="s">
        <v>4</v>
      </c>
      <c r="D69">
        <v>0.01</v>
      </c>
      <c r="E69" s="1" t="s">
        <v>99</v>
      </c>
      <c r="F69">
        <v>4</v>
      </c>
      <c r="G69" t="b">
        <v>1</v>
      </c>
      <c r="H69" t="b">
        <v>0</v>
      </c>
      <c r="I69" t="b">
        <v>0</v>
      </c>
    </row>
    <row r="70" spans="1:9" x14ac:dyDescent="0.2">
      <c r="A70" t="s">
        <v>205</v>
      </c>
      <c r="B70" t="s">
        <v>214</v>
      </c>
      <c r="C70" t="s">
        <v>2</v>
      </c>
      <c r="D70">
        <v>0.05</v>
      </c>
      <c r="E70">
        <v>5.9152291971258798E-2</v>
      </c>
      <c r="F70">
        <v>4</v>
      </c>
      <c r="G70" t="b">
        <v>1</v>
      </c>
      <c r="H70" t="b">
        <v>1</v>
      </c>
      <c r="I70" t="b">
        <v>0</v>
      </c>
    </row>
    <row r="71" spans="1:9" x14ac:dyDescent="0.2">
      <c r="A71" t="s">
        <v>205</v>
      </c>
      <c r="B71" t="s">
        <v>214</v>
      </c>
      <c r="C71" t="s">
        <v>4</v>
      </c>
      <c r="D71">
        <v>0.05</v>
      </c>
      <c r="E71" t="s">
        <v>76</v>
      </c>
      <c r="F71">
        <v>1000</v>
      </c>
      <c r="G71" t="b">
        <v>1</v>
      </c>
      <c r="H71" t="b">
        <v>0</v>
      </c>
      <c r="I71" t="b">
        <v>1</v>
      </c>
    </row>
    <row r="72" spans="1:9" x14ac:dyDescent="0.2">
      <c r="A72" t="s">
        <v>205</v>
      </c>
      <c r="B72" t="s">
        <v>214</v>
      </c>
      <c r="C72" t="s">
        <v>2</v>
      </c>
      <c r="D72">
        <v>0.1</v>
      </c>
      <c r="E72" s="1" t="s">
        <v>102</v>
      </c>
      <c r="F72">
        <v>7</v>
      </c>
      <c r="G72" t="b">
        <v>1</v>
      </c>
      <c r="H72" t="b">
        <v>1</v>
      </c>
      <c r="I72" t="b">
        <v>0</v>
      </c>
    </row>
    <row r="73" spans="1:9" x14ac:dyDescent="0.2">
      <c r="A73" t="s">
        <v>205</v>
      </c>
      <c r="B73" t="s">
        <v>214</v>
      </c>
      <c r="C73" t="s">
        <v>4</v>
      </c>
      <c r="D73">
        <v>0.1</v>
      </c>
      <c r="E73" t="s">
        <v>76</v>
      </c>
      <c r="F73">
        <v>1000</v>
      </c>
      <c r="G73" t="b">
        <v>1</v>
      </c>
      <c r="H73" t="b">
        <v>0</v>
      </c>
      <c r="I73" t="b">
        <v>1</v>
      </c>
    </row>
    <row r="74" spans="1:9" x14ac:dyDescent="0.2">
      <c r="A74" t="s">
        <v>208</v>
      </c>
      <c r="B74" t="s">
        <v>212</v>
      </c>
      <c r="C74" t="s">
        <v>2</v>
      </c>
      <c r="D74">
        <v>0</v>
      </c>
      <c r="E74">
        <v>5.2962666028179201E-2</v>
      </c>
      <c r="F74">
        <v>1</v>
      </c>
      <c r="G74" t="b">
        <v>0</v>
      </c>
      <c r="H74" t="b">
        <v>1</v>
      </c>
      <c r="I74" t="b">
        <v>0</v>
      </c>
    </row>
    <row r="75" spans="1:9" x14ac:dyDescent="0.2">
      <c r="A75" t="s">
        <v>208</v>
      </c>
      <c r="B75" t="s">
        <v>212</v>
      </c>
      <c r="C75" t="s">
        <v>4</v>
      </c>
      <c r="D75">
        <v>0</v>
      </c>
      <c r="E75" s="1" t="s">
        <v>105</v>
      </c>
      <c r="F75">
        <v>1</v>
      </c>
      <c r="G75" t="b">
        <v>0</v>
      </c>
      <c r="H75" t="b">
        <v>1</v>
      </c>
      <c r="I75" t="b">
        <v>0</v>
      </c>
    </row>
    <row r="76" spans="1:9" x14ac:dyDescent="0.2">
      <c r="A76" t="s">
        <v>208</v>
      </c>
      <c r="B76" t="s">
        <v>212</v>
      </c>
      <c r="C76" t="s">
        <v>2</v>
      </c>
      <c r="D76">
        <v>0.01</v>
      </c>
      <c r="E76" s="1" t="s">
        <v>107</v>
      </c>
      <c r="F76">
        <v>1</v>
      </c>
      <c r="G76" t="b">
        <v>0</v>
      </c>
      <c r="H76" t="b">
        <v>1</v>
      </c>
      <c r="I76" t="b">
        <v>0</v>
      </c>
    </row>
    <row r="77" spans="1:9" x14ac:dyDescent="0.2">
      <c r="A77" t="s">
        <v>208</v>
      </c>
      <c r="B77" t="s">
        <v>212</v>
      </c>
      <c r="C77" t="s">
        <v>4</v>
      </c>
      <c r="D77">
        <v>0.01</v>
      </c>
      <c r="E77">
        <v>3.2306583947502E-2</v>
      </c>
      <c r="F77">
        <v>1</v>
      </c>
      <c r="G77" t="b">
        <v>0</v>
      </c>
      <c r="H77" t="b">
        <v>1</v>
      </c>
      <c r="I77" t="b">
        <v>0</v>
      </c>
    </row>
    <row r="78" spans="1:9" x14ac:dyDescent="0.2">
      <c r="A78" t="s">
        <v>208</v>
      </c>
      <c r="B78" t="s">
        <v>212</v>
      </c>
      <c r="C78" t="s">
        <v>2</v>
      </c>
      <c r="D78">
        <v>0.05</v>
      </c>
      <c r="E78" s="1" t="s">
        <v>109</v>
      </c>
      <c r="F78">
        <v>1</v>
      </c>
      <c r="G78" t="b">
        <v>0</v>
      </c>
      <c r="H78" t="b">
        <v>1</v>
      </c>
      <c r="I78" t="b">
        <v>0</v>
      </c>
    </row>
    <row r="79" spans="1:9" x14ac:dyDescent="0.2">
      <c r="A79" t="s">
        <v>208</v>
      </c>
      <c r="B79" t="s">
        <v>212</v>
      </c>
      <c r="C79" t="s">
        <v>4</v>
      </c>
      <c r="D79">
        <v>0.05</v>
      </c>
      <c r="E79" s="1" t="s">
        <v>112</v>
      </c>
      <c r="F79">
        <v>1</v>
      </c>
      <c r="G79" t="b">
        <v>0</v>
      </c>
      <c r="H79" t="b">
        <v>1</v>
      </c>
      <c r="I79" t="b">
        <v>0</v>
      </c>
    </row>
    <row r="80" spans="1:9" x14ac:dyDescent="0.2">
      <c r="A80" t="s">
        <v>208</v>
      </c>
      <c r="B80" t="s">
        <v>212</v>
      </c>
      <c r="C80" t="s">
        <v>2</v>
      </c>
      <c r="D80">
        <v>0.1</v>
      </c>
      <c r="E80" s="1" t="s">
        <v>114</v>
      </c>
      <c r="F80">
        <v>1</v>
      </c>
      <c r="G80" t="b">
        <v>0</v>
      </c>
      <c r="H80" t="b">
        <v>1</v>
      </c>
      <c r="I80" t="b">
        <v>0</v>
      </c>
    </row>
    <row r="81" spans="1:9" x14ac:dyDescent="0.2">
      <c r="A81" t="s">
        <v>208</v>
      </c>
      <c r="B81" t="s">
        <v>212</v>
      </c>
      <c r="C81" t="s">
        <v>4</v>
      </c>
      <c r="D81">
        <v>0.1</v>
      </c>
      <c r="E81" s="1" t="s">
        <v>117</v>
      </c>
      <c r="F81">
        <v>1</v>
      </c>
      <c r="G81" t="b">
        <v>0</v>
      </c>
      <c r="H81" t="b">
        <v>1</v>
      </c>
      <c r="I81" t="b">
        <v>0</v>
      </c>
    </row>
    <row r="82" spans="1:9" x14ac:dyDescent="0.2">
      <c r="A82" t="s">
        <v>208</v>
      </c>
      <c r="B82" t="s">
        <v>213</v>
      </c>
      <c r="C82" t="s">
        <v>2</v>
      </c>
      <c r="D82">
        <v>0</v>
      </c>
      <c r="E82">
        <v>3.50899579934775E-2</v>
      </c>
      <c r="F82">
        <v>1</v>
      </c>
      <c r="G82" t="b">
        <v>0</v>
      </c>
      <c r="H82" t="b">
        <v>1</v>
      </c>
      <c r="I82" t="b">
        <v>0</v>
      </c>
    </row>
    <row r="83" spans="1:9" x14ac:dyDescent="0.2">
      <c r="A83" t="s">
        <v>208</v>
      </c>
      <c r="B83" t="s">
        <v>213</v>
      </c>
      <c r="C83" t="s">
        <v>4</v>
      </c>
      <c r="D83">
        <v>0</v>
      </c>
      <c r="E83" s="1" t="s">
        <v>119</v>
      </c>
      <c r="F83">
        <v>1</v>
      </c>
      <c r="G83" t="b">
        <v>0</v>
      </c>
      <c r="H83" t="b">
        <v>1</v>
      </c>
      <c r="I83" t="b">
        <v>0</v>
      </c>
    </row>
    <row r="84" spans="1:9" x14ac:dyDescent="0.2">
      <c r="A84" t="s">
        <v>208</v>
      </c>
      <c r="B84" t="s">
        <v>213</v>
      </c>
      <c r="C84" t="s">
        <v>2</v>
      </c>
      <c r="D84">
        <v>0.01</v>
      </c>
      <c r="E84">
        <v>2.5147709005977899E-2</v>
      </c>
      <c r="F84">
        <v>1</v>
      </c>
      <c r="G84" t="b">
        <v>0</v>
      </c>
      <c r="H84" t="b">
        <v>1</v>
      </c>
      <c r="I84" t="b">
        <v>0</v>
      </c>
    </row>
    <row r="85" spans="1:9" x14ac:dyDescent="0.2">
      <c r="A85" t="s">
        <v>208</v>
      </c>
      <c r="B85" t="s">
        <v>213</v>
      </c>
      <c r="C85" t="s">
        <v>4</v>
      </c>
      <c r="D85">
        <v>0.01</v>
      </c>
      <c r="E85">
        <v>4.60642069811001E-2</v>
      </c>
      <c r="F85">
        <v>1</v>
      </c>
      <c r="G85" t="b">
        <v>0</v>
      </c>
      <c r="H85" t="b">
        <v>1</v>
      </c>
      <c r="I85" t="b">
        <v>0</v>
      </c>
    </row>
    <row r="86" spans="1:9" x14ac:dyDescent="0.2">
      <c r="A86" t="s">
        <v>208</v>
      </c>
      <c r="B86" t="s">
        <v>213</v>
      </c>
      <c r="C86" t="s">
        <v>2</v>
      </c>
      <c r="D86">
        <v>0.05</v>
      </c>
      <c r="E86" s="1" t="s">
        <v>123</v>
      </c>
      <c r="F86">
        <v>1</v>
      </c>
      <c r="G86" t="b">
        <v>0</v>
      </c>
      <c r="H86" t="b">
        <v>1</v>
      </c>
      <c r="I86" t="b">
        <v>0</v>
      </c>
    </row>
    <row r="87" spans="1:9" x14ac:dyDescent="0.2">
      <c r="A87" t="s">
        <v>208</v>
      </c>
      <c r="B87" t="s">
        <v>213</v>
      </c>
      <c r="C87" t="s">
        <v>4</v>
      </c>
      <c r="D87">
        <v>0.05</v>
      </c>
      <c r="E87" s="1" t="s">
        <v>126</v>
      </c>
      <c r="F87">
        <v>1</v>
      </c>
      <c r="G87" t="b">
        <v>0</v>
      </c>
      <c r="H87" t="b">
        <v>1</v>
      </c>
      <c r="I87" t="b">
        <v>0</v>
      </c>
    </row>
    <row r="88" spans="1:9" x14ac:dyDescent="0.2">
      <c r="A88" t="s">
        <v>208</v>
      </c>
      <c r="B88" t="s">
        <v>213</v>
      </c>
      <c r="C88" t="s">
        <v>2</v>
      </c>
      <c r="D88">
        <v>0.1</v>
      </c>
      <c r="E88" s="1" t="s">
        <v>128</v>
      </c>
      <c r="F88">
        <v>1</v>
      </c>
      <c r="G88" t="b">
        <v>0</v>
      </c>
      <c r="H88" t="b">
        <v>1</v>
      </c>
      <c r="I88" t="b">
        <v>0</v>
      </c>
    </row>
    <row r="89" spans="1:9" x14ac:dyDescent="0.2">
      <c r="A89" t="s">
        <v>208</v>
      </c>
      <c r="B89" t="s">
        <v>213</v>
      </c>
      <c r="C89" t="s">
        <v>4</v>
      </c>
      <c r="D89">
        <v>0.1</v>
      </c>
      <c r="E89" s="1" t="s">
        <v>130</v>
      </c>
      <c r="F89">
        <v>1</v>
      </c>
      <c r="G89" t="b">
        <v>0</v>
      </c>
      <c r="H89" t="b">
        <v>1</v>
      </c>
      <c r="I89" t="b">
        <v>0</v>
      </c>
    </row>
    <row r="90" spans="1:9" x14ac:dyDescent="0.2">
      <c r="A90" t="s">
        <v>208</v>
      </c>
      <c r="B90" t="s">
        <v>214</v>
      </c>
      <c r="C90" t="s">
        <v>2</v>
      </c>
      <c r="D90">
        <v>0</v>
      </c>
      <c r="E90" s="1" t="s">
        <v>132</v>
      </c>
      <c r="F90">
        <v>1</v>
      </c>
      <c r="G90" t="b">
        <v>0</v>
      </c>
      <c r="H90" t="b">
        <v>1</v>
      </c>
      <c r="I90" t="b">
        <v>0</v>
      </c>
    </row>
    <row r="91" spans="1:9" x14ac:dyDescent="0.2">
      <c r="A91" t="s">
        <v>208</v>
      </c>
      <c r="B91" t="s">
        <v>214</v>
      </c>
      <c r="C91" t="s">
        <v>4</v>
      </c>
      <c r="D91">
        <v>0</v>
      </c>
      <c r="E91">
        <v>5.8524082938674803E-2</v>
      </c>
      <c r="F91">
        <v>1</v>
      </c>
      <c r="G91" t="b">
        <v>0</v>
      </c>
      <c r="H91" t="b">
        <v>1</v>
      </c>
      <c r="I91" t="b">
        <v>0</v>
      </c>
    </row>
    <row r="92" spans="1:9" x14ac:dyDescent="0.2">
      <c r="A92" t="s">
        <v>208</v>
      </c>
      <c r="B92" t="s">
        <v>214</v>
      </c>
      <c r="C92" t="s">
        <v>2</v>
      </c>
      <c r="D92">
        <v>0.01</v>
      </c>
      <c r="E92">
        <v>3.3686374081298702E-2</v>
      </c>
      <c r="F92">
        <v>1</v>
      </c>
      <c r="G92" t="b">
        <v>0</v>
      </c>
      <c r="H92" t="b">
        <v>1</v>
      </c>
      <c r="I92" t="b">
        <v>0</v>
      </c>
    </row>
    <row r="93" spans="1:9" x14ac:dyDescent="0.2">
      <c r="A93" t="s">
        <v>208</v>
      </c>
      <c r="B93" t="s">
        <v>214</v>
      </c>
      <c r="C93" t="s">
        <v>4</v>
      </c>
      <c r="D93">
        <v>0.01</v>
      </c>
      <c r="E93">
        <v>5.5805123993195503E-2</v>
      </c>
      <c r="F93">
        <v>1</v>
      </c>
      <c r="G93" t="b">
        <v>0</v>
      </c>
      <c r="H93" t="b">
        <v>1</v>
      </c>
      <c r="I93" t="b">
        <v>0</v>
      </c>
    </row>
    <row r="94" spans="1:9" x14ac:dyDescent="0.2">
      <c r="A94" t="s">
        <v>208</v>
      </c>
      <c r="B94" t="s">
        <v>214</v>
      </c>
      <c r="C94" t="s">
        <v>2</v>
      </c>
      <c r="D94">
        <v>0.05</v>
      </c>
      <c r="E94">
        <v>3.4581042069476098E-2</v>
      </c>
      <c r="F94">
        <v>1</v>
      </c>
      <c r="G94" t="b">
        <v>0</v>
      </c>
      <c r="H94" t="b">
        <v>1</v>
      </c>
      <c r="I94" t="b">
        <v>0</v>
      </c>
    </row>
    <row r="95" spans="1:9" x14ac:dyDescent="0.2">
      <c r="A95" t="s">
        <v>208</v>
      </c>
      <c r="B95" t="s">
        <v>214</v>
      </c>
      <c r="C95" t="s">
        <v>4</v>
      </c>
      <c r="D95">
        <v>0.05</v>
      </c>
      <c r="E95">
        <v>5.9052750002592802E-2</v>
      </c>
      <c r="F95">
        <v>1</v>
      </c>
      <c r="G95" t="b">
        <v>0</v>
      </c>
      <c r="H95" t="b">
        <v>1</v>
      </c>
      <c r="I95" t="b">
        <v>0</v>
      </c>
    </row>
    <row r="96" spans="1:9" x14ac:dyDescent="0.2">
      <c r="A96" t="s">
        <v>208</v>
      </c>
      <c r="B96" t="s">
        <v>214</v>
      </c>
      <c r="C96" t="s">
        <v>2</v>
      </c>
      <c r="D96">
        <v>0.1</v>
      </c>
      <c r="E96">
        <v>3.4648125001695E-2</v>
      </c>
      <c r="F96">
        <v>1</v>
      </c>
      <c r="G96" t="b">
        <v>0</v>
      </c>
      <c r="H96" t="b">
        <v>1</v>
      </c>
      <c r="I96" t="b">
        <v>0</v>
      </c>
    </row>
    <row r="97" spans="1:9" x14ac:dyDescent="0.2">
      <c r="A97" t="s">
        <v>208</v>
      </c>
      <c r="B97" t="s">
        <v>214</v>
      </c>
      <c r="C97" t="s">
        <v>4</v>
      </c>
      <c r="D97">
        <v>0.1</v>
      </c>
      <c r="E97" s="1" t="s">
        <v>142</v>
      </c>
      <c r="F97">
        <v>1</v>
      </c>
      <c r="G97" t="b">
        <v>0</v>
      </c>
      <c r="H97" t="b">
        <v>1</v>
      </c>
      <c r="I97" t="b">
        <v>0</v>
      </c>
    </row>
    <row r="98" spans="1:9" x14ac:dyDescent="0.2">
      <c r="A98" t="s">
        <v>209</v>
      </c>
      <c r="B98" t="s">
        <v>212</v>
      </c>
      <c r="C98" t="s">
        <v>2</v>
      </c>
      <c r="D98">
        <v>0</v>
      </c>
      <c r="E98" s="1" t="s">
        <v>144</v>
      </c>
      <c r="F98">
        <v>1</v>
      </c>
      <c r="G98" t="b">
        <v>0</v>
      </c>
      <c r="H98" t="b">
        <v>1</v>
      </c>
      <c r="I98" t="b">
        <v>0</v>
      </c>
    </row>
    <row r="99" spans="1:9" x14ac:dyDescent="0.2">
      <c r="A99" t="s">
        <v>209</v>
      </c>
      <c r="B99" t="s">
        <v>212</v>
      </c>
      <c r="C99" t="s">
        <v>4</v>
      </c>
      <c r="D99">
        <v>0</v>
      </c>
      <c r="E99" s="1" t="s">
        <v>147</v>
      </c>
      <c r="F99">
        <v>1</v>
      </c>
      <c r="G99" t="b">
        <v>0</v>
      </c>
      <c r="H99" t="b">
        <v>1</v>
      </c>
      <c r="I99" t="b">
        <v>0</v>
      </c>
    </row>
    <row r="100" spans="1:9" x14ac:dyDescent="0.2">
      <c r="A100" t="s">
        <v>209</v>
      </c>
      <c r="B100" t="s">
        <v>212</v>
      </c>
      <c r="C100" t="s">
        <v>2</v>
      </c>
      <c r="D100">
        <v>0.01</v>
      </c>
      <c r="E100" s="1" t="s">
        <v>149</v>
      </c>
      <c r="F100">
        <v>4</v>
      </c>
      <c r="G100" t="b">
        <v>1</v>
      </c>
      <c r="H100" t="b">
        <v>1</v>
      </c>
      <c r="I100" t="b">
        <v>0</v>
      </c>
    </row>
    <row r="101" spans="1:9" x14ac:dyDescent="0.2">
      <c r="A101" t="s">
        <v>209</v>
      </c>
      <c r="B101" t="s">
        <v>212</v>
      </c>
      <c r="C101" t="s">
        <v>4</v>
      </c>
      <c r="D101">
        <v>0.01</v>
      </c>
      <c r="E101" s="1" t="s">
        <v>151</v>
      </c>
      <c r="F101">
        <v>4</v>
      </c>
      <c r="G101" t="b">
        <v>1</v>
      </c>
      <c r="H101" t="b">
        <v>0</v>
      </c>
      <c r="I101" t="b">
        <v>0</v>
      </c>
    </row>
    <row r="102" spans="1:9" x14ac:dyDescent="0.2">
      <c r="A102" t="s">
        <v>209</v>
      </c>
      <c r="B102" t="s">
        <v>212</v>
      </c>
      <c r="C102" t="s">
        <v>2</v>
      </c>
      <c r="D102">
        <v>0.05</v>
      </c>
      <c r="E102" s="1" t="s">
        <v>152</v>
      </c>
      <c r="F102">
        <v>7</v>
      </c>
      <c r="G102" t="b">
        <v>1</v>
      </c>
      <c r="H102" t="b">
        <v>1</v>
      </c>
      <c r="I102" t="b">
        <v>0</v>
      </c>
    </row>
    <row r="103" spans="1:9" x14ac:dyDescent="0.2">
      <c r="A103" t="s">
        <v>209</v>
      </c>
      <c r="B103" t="s">
        <v>212</v>
      </c>
      <c r="C103" t="s">
        <v>4</v>
      </c>
      <c r="D103">
        <v>0.05</v>
      </c>
      <c r="E103" t="s">
        <v>76</v>
      </c>
      <c r="F103">
        <v>1000</v>
      </c>
      <c r="G103" t="b">
        <v>1</v>
      </c>
      <c r="H103" t="b">
        <v>0</v>
      </c>
      <c r="I103" t="b">
        <v>1</v>
      </c>
    </row>
    <row r="104" spans="1:9" x14ac:dyDescent="0.2">
      <c r="A104" t="s">
        <v>209</v>
      </c>
      <c r="B104" t="s">
        <v>212</v>
      </c>
      <c r="C104" t="s">
        <v>2</v>
      </c>
      <c r="D104">
        <v>0.1</v>
      </c>
      <c r="E104" s="1" t="s">
        <v>154</v>
      </c>
      <c r="F104">
        <v>11</v>
      </c>
      <c r="G104" t="b">
        <v>1</v>
      </c>
      <c r="H104" t="b">
        <v>1</v>
      </c>
      <c r="I104" t="b">
        <v>0</v>
      </c>
    </row>
    <row r="105" spans="1:9" x14ac:dyDescent="0.2">
      <c r="A105" t="s">
        <v>209</v>
      </c>
      <c r="B105" t="s">
        <v>212</v>
      </c>
      <c r="C105" t="s">
        <v>4</v>
      </c>
      <c r="D105">
        <v>0.1</v>
      </c>
      <c r="E105" t="s">
        <v>76</v>
      </c>
      <c r="F105">
        <v>1000</v>
      </c>
      <c r="G105" t="b">
        <v>1</v>
      </c>
      <c r="H105" t="b">
        <v>0</v>
      </c>
      <c r="I105" t="b">
        <v>1</v>
      </c>
    </row>
    <row r="106" spans="1:9" x14ac:dyDescent="0.2">
      <c r="A106" t="s">
        <v>209</v>
      </c>
      <c r="B106" t="s">
        <v>213</v>
      </c>
      <c r="C106" t="s">
        <v>2</v>
      </c>
      <c r="D106">
        <v>0</v>
      </c>
      <c r="E106">
        <v>3.1993832963053102E-2</v>
      </c>
      <c r="F106">
        <v>1</v>
      </c>
      <c r="G106" t="b">
        <v>0</v>
      </c>
      <c r="H106" t="b">
        <v>1</v>
      </c>
      <c r="I106" t="b">
        <v>0</v>
      </c>
    </row>
    <row r="107" spans="1:9" x14ac:dyDescent="0.2">
      <c r="A107" t="s">
        <v>209</v>
      </c>
      <c r="B107" t="s">
        <v>213</v>
      </c>
      <c r="C107" t="s">
        <v>4</v>
      </c>
      <c r="D107">
        <v>0</v>
      </c>
      <c r="E107" s="1" t="s">
        <v>158</v>
      </c>
      <c r="F107">
        <v>1</v>
      </c>
      <c r="G107" t="b">
        <v>0</v>
      </c>
      <c r="H107" t="b">
        <v>1</v>
      </c>
      <c r="I107" t="b">
        <v>1</v>
      </c>
    </row>
    <row r="108" spans="1:9" x14ac:dyDescent="0.2">
      <c r="A108" t="s">
        <v>209</v>
      </c>
      <c r="B108" t="s">
        <v>213</v>
      </c>
      <c r="C108" t="s">
        <v>2</v>
      </c>
      <c r="D108">
        <v>0.01</v>
      </c>
      <c r="E108">
        <v>3.5647583019453997E-2</v>
      </c>
      <c r="F108">
        <v>4</v>
      </c>
      <c r="G108" t="b">
        <v>1</v>
      </c>
      <c r="H108" t="b">
        <v>1</v>
      </c>
      <c r="I108" t="b">
        <v>0</v>
      </c>
    </row>
    <row r="109" spans="1:9" x14ac:dyDescent="0.2">
      <c r="A109" t="s">
        <v>209</v>
      </c>
      <c r="B109" t="s">
        <v>213</v>
      </c>
      <c r="C109" t="s">
        <v>4</v>
      </c>
      <c r="D109">
        <v>0.01</v>
      </c>
      <c r="E109" s="1" t="s">
        <v>163</v>
      </c>
      <c r="F109">
        <v>4</v>
      </c>
      <c r="G109" t="b">
        <v>1</v>
      </c>
      <c r="H109" t="b">
        <v>0</v>
      </c>
      <c r="I109" t="b">
        <v>0</v>
      </c>
    </row>
    <row r="110" spans="1:9" x14ac:dyDescent="0.2">
      <c r="A110" t="s">
        <v>209</v>
      </c>
      <c r="B110" t="s">
        <v>213</v>
      </c>
      <c r="C110" t="s">
        <v>2</v>
      </c>
      <c r="D110">
        <v>0.05</v>
      </c>
      <c r="E110">
        <v>3.9203625055961297E-2</v>
      </c>
      <c r="F110">
        <v>6</v>
      </c>
      <c r="G110" t="b">
        <v>1</v>
      </c>
      <c r="H110" t="b">
        <v>1</v>
      </c>
      <c r="I110" t="b">
        <v>0</v>
      </c>
    </row>
    <row r="111" spans="1:9" x14ac:dyDescent="0.2">
      <c r="A111" t="s">
        <v>209</v>
      </c>
      <c r="B111" t="s">
        <v>213</v>
      </c>
      <c r="C111" t="s">
        <v>4</v>
      </c>
      <c r="D111">
        <v>0.05</v>
      </c>
      <c r="E111" t="s">
        <v>76</v>
      </c>
      <c r="F111">
        <v>1000</v>
      </c>
      <c r="G111" t="b">
        <v>1</v>
      </c>
      <c r="H111" t="b">
        <v>0</v>
      </c>
      <c r="I111" t="b">
        <v>1</v>
      </c>
    </row>
    <row r="112" spans="1:9" x14ac:dyDescent="0.2">
      <c r="A112" t="s">
        <v>209</v>
      </c>
      <c r="B112" t="s">
        <v>213</v>
      </c>
      <c r="C112" t="s">
        <v>2</v>
      </c>
      <c r="D112">
        <v>0.1</v>
      </c>
      <c r="E112" s="1" t="s">
        <v>167</v>
      </c>
      <c r="F112">
        <v>9</v>
      </c>
      <c r="G112" t="b">
        <v>1</v>
      </c>
      <c r="H112" t="b">
        <v>1</v>
      </c>
      <c r="I112" t="b">
        <v>0</v>
      </c>
    </row>
    <row r="113" spans="1:9" x14ac:dyDescent="0.2">
      <c r="A113" t="s">
        <v>209</v>
      </c>
      <c r="B113" t="s">
        <v>213</v>
      </c>
      <c r="C113" t="s">
        <v>4</v>
      </c>
      <c r="D113">
        <v>0.1</v>
      </c>
      <c r="E113" t="s">
        <v>76</v>
      </c>
      <c r="F113">
        <v>1000</v>
      </c>
      <c r="G113" t="b">
        <v>1</v>
      </c>
      <c r="H113" t="b">
        <v>0</v>
      </c>
      <c r="I113" t="b">
        <v>1</v>
      </c>
    </row>
    <row r="114" spans="1:9" x14ac:dyDescent="0.2">
      <c r="A114" t="s">
        <v>209</v>
      </c>
      <c r="B114" t="s">
        <v>214</v>
      </c>
      <c r="C114" t="s">
        <v>2</v>
      </c>
      <c r="D114">
        <v>0</v>
      </c>
      <c r="E114" s="1" t="s">
        <v>170</v>
      </c>
      <c r="F114">
        <v>1</v>
      </c>
      <c r="G114" t="b">
        <v>0</v>
      </c>
      <c r="H114" t="b">
        <v>1</v>
      </c>
      <c r="I114" t="b">
        <v>0</v>
      </c>
    </row>
    <row r="115" spans="1:9" x14ac:dyDescent="0.2">
      <c r="A115" t="s">
        <v>209</v>
      </c>
      <c r="B115" t="s">
        <v>214</v>
      </c>
      <c r="C115" t="s">
        <v>4</v>
      </c>
      <c r="D115">
        <v>0</v>
      </c>
      <c r="E115" s="1" t="s">
        <v>172</v>
      </c>
      <c r="F115">
        <v>1</v>
      </c>
      <c r="G115" t="b">
        <v>0</v>
      </c>
      <c r="H115" t="b">
        <v>0</v>
      </c>
      <c r="I115" t="b">
        <v>1</v>
      </c>
    </row>
    <row r="116" spans="1:9" x14ac:dyDescent="0.2">
      <c r="A116" t="s">
        <v>209</v>
      </c>
      <c r="B116" t="s">
        <v>214</v>
      </c>
      <c r="C116" t="s">
        <v>2</v>
      </c>
      <c r="D116">
        <v>0.01</v>
      </c>
      <c r="E116">
        <v>5.3067082946654402E-2</v>
      </c>
      <c r="F116">
        <v>2</v>
      </c>
      <c r="G116" t="b">
        <v>1</v>
      </c>
      <c r="H116" t="b">
        <v>1</v>
      </c>
      <c r="I116" t="b">
        <v>0</v>
      </c>
    </row>
    <row r="117" spans="1:9" x14ac:dyDescent="0.2">
      <c r="A117" t="s">
        <v>209</v>
      </c>
      <c r="B117" t="s">
        <v>214</v>
      </c>
      <c r="C117" t="s">
        <v>4</v>
      </c>
      <c r="D117">
        <v>0.01</v>
      </c>
      <c r="E117" t="s">
        <v>76</v>
      </c>
      <c r="F117">
        <v>1000</v>
      </c>
      <c r="G117" t="b">
        <v>1</v>
      </c>
      <c r="H117" t="b">
        <v>0</v>
      </c>
      <c r="I117" t="b">
        <v>1</v>
      </c>
    </row>
    <row r="118" spans="1:9" x14ac:dyDescent="0.2">
      <c r="A118" t="s">
        <v>209</v>
      </c>
      <c r="B118" t="s">
        <v>214</v>
      </c>
      <c r="C118" t="s">
        <v>2</v>
      </c>
      <c r="D118">
        <v>0.05</v>
      </c>
      <c r="E118">
        <v>4.4873874925542602E-2</v>
      </c>
      <c r="F118">
        <v>2</v>
      </c>
      <c r="G118" t="b">
        <v>1</v>
      </c>
      <c r="H118" t="b">
        <v>1</v>
      </c>
      <c r="I118" t="b">
        <v>0</v>
      </c>
    </row>
    <row r="119" spans="1:9" x14ac:dyDescent="0.2">
      <c r="A119" t="s">
        <v>209</v>
      </c>
      <c r="B119" t="s">
        <v>214</v>
      </c>
      <c r="C119" t="s">
        <v>4</v>
      </c>
      <c r="D119">
        <v>0.05</v>
      </c>
      <c r="E119" t="s">
        <v>76</v>
      </c>
      <c r="F119">
        <v>1000</v>
      </c>
      <c r="G119" t="b">
        <v>1</v>
      </c>
      <c r="H119" t="b">
        <v>0</v>
      </c>
      <c r="I119" t="b">
        <v>1</v>
      </c>
    </row>
    <row r="120" spans="1:9" x14ac:dyDescent="0.2">
      <c r="A120" t="s">
        <v>209</v>
      </c>
      <c r="B120" t="s">
        <v>214</v>
      </c>
      <c r="C120" t="s">
        <v>2</v>
      </c>
      <c r="D120">
        <v>0.1</v>
      </c>
      <c r="E120">
        <v>4.4473168032709502E-2</v>
      </c>
      <c r="F120">
        <v>3</v>
      </c>
      <c r="G120" t="b">
        <v>1</v>
      </c>
      <c r="H120" t="b">
        <v>1</v>
      </c>
      <c r="I120" t="b">
        <v>0</v>
      </c>
    </row>
    <row r="121" spans="1:9" x14ac:dyDescent="0.2">
      <c r="A121" t="s">
        <v>209</v>
      </c>
      <c r="B121" t="s">
        <v>214</v>
      </c>
      <c r="C121" t="s">
        <v>4</v>
      </c>
      <c r="D121">
        <v>0.1</v>
      </c>
      <c r="E121" t="s">
        <v>76</v>
      </c>
      <c r="F121">
        <v>1000</v>
      </c>
      <c r="G121" t="b">
        <v>1</v>
      </c>
      <c r="H121" t="b">
        <v>0</v>
      </c>
      <c r="I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Processed Data</vt:lpstr>
      <vt:lpstr>Benders Candidates Vs True</vt:lpstr>
      <vt:lpstr>Extensive Form</vt:lpstr>
      <vt:lpstr>Sol Count &amp; Timing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Viens</dc:creator>
  <cp:lastModifiedBy>Matthew Viens</cp:lastModifiedBy>
  <dcterms:created xsi:type="dcterms:W3CDTF">2026-08-12T02:23:16Z</dcterms:created>
  <dcterms:modified xsi:type="dcterms:W3CDTF">2026-08-12T04:47:17Z</dcterms:modified>
</cp:coreProperties>
</file>